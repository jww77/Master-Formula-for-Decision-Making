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1 Probabilities" sheetId="2" state="visible" r:id="rId4"/>
    <sheet name="2 Risk Tolerance" sheetId="3" state="visible" r:id="rId5"/>
    <sheet name="3 Weights" sheetId="4" state="visible" r:id="rId6"/>
    <sheet name="4 Likelihoods" sheetId="5" state="visible" r:id="rId7"/>
    <sheet name="5 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<sst xmlns="http://schemas.openxmlformats.org/spreadsheetml/2006/main" count="154" uniqueCount="141">
  <si>
    <t xml:space="preserve">Input Workshop for the Master Formula for Decision-Making</t>
  </si>
  <si>
    <t xml:space="preserve">The formula is only as good as its inputs. This workbook elicits them with established methods instead of raw guesses.</t>
  </si>
  <si>
    <t xml:space="preserve">This copy is pre-filled with the Campus Grounds worked example from the student guide, a student-run coffee cart deciding whether to lease a second location. Follow the guide cell by cell, and the Follow-along column on each tab shows the value you should see. When the walkthrough is done, replace the yellow cells with your own decision.</t>
  </si>
  <si>
    <t xml:space="preserve">Use the tabs in order, then carry the Summary values into the decision calculators.</t>
  </si>
  <si>
    <t xml:space="preserve">Tab 1, Probabilities. Anchors your prior in a base rate from similar past cases, converts a 10-to-90 range into a mean and standard deviation, and scores your past forecasts so you can see and correct overconfidence.</t>
  </si>
  <si>
    <t xml:space="preserve">Tab 2, Risk Tolerance. Turns two answerable questions about gambles into the risk tolerance R that the calculators use to price risk.</t>
  </si>
  <si>
    <t xml:space="preserve">Tab 3, Weights. Turns attribute rankings into defensible weights by the swing method, then scores up to five actions on up to six objectives at once.</t>
  </si>
  <si>
    <t xml:space="preserve">Tab 4, Likelihoods. Tests whether a signal is worth paying for by asking how often it would appear if the opposite were true.</t>
  </si>
  <si>
    <t xml:space="preserve">Tab 5, Summary. Collects the finished inputs in one place.</t>
  </si>
  <si>
    <t xml:space="preserve">Yellow cells are yours to change. Gold italic cells are the follow-along checks. Every other number is computed.</t>
  </si>
  <si>
    <t xml:space="preserve">Calibrated Probabilities</t>
  </si>
  <si>
    <t xml:space="preserve">Pre-filled with Campus Grounds. Anchor the prior in a base rate, convert ranges to distributions, and score your forecasting record.</t>
  </si>
  <si>
    <t xml:space="preserve">A. Reference class: anchor the prior in a base rate</t>
  </si>
  <si>
    <t xml:space="preserve">Follow-along</t>
  </si>
  <si>
    <t xml:space="preserve">Similar past cases you can identify</t>
  </si>
  <si>
    <t xml:space="preserve">12 campus carts</t>
  </si>
  <si>
    <t xml:space="preserve">Cases where the outcome occurred</t>
  </si>
  <si>
    <t xml:space="preserve">7 profitable</t>
  </si>
  <si>
    <t xml:space="preserve">Base rate from the reference class</t>
  </si>
  <si>
    <t xml:space="preserve">0.58</t>
  </si>
  <si>
    <t xml:space="preserve">Your prior for the current case</t>
  </si>
  <si>
    <t xml:space="preserve">0.55, reason written</t>
  </si>
  <si>
    <t xml:space="preserve">Distance from the base rate</t>
  </si>
  <si>
    <t xml:space="preserve">0.03</t>
  </si>
  <si>
    <t xml:space="preserve">B. Range to distribution: for continuous states such as daily cups</t>
  </si>
  <si>
    <t xml:space="preserve">Low estimate, 1 chance in 10 it falls below</t>
  </si>
  <si>
    <t xml:space="preserve">120 cups</t>
  </si>
  <si>
    <t xml:space="preserve">These two cells feed the continuous calculators. If your 10-to-90 range feels easy to state, it is probably too narrow. Most people's ranges capture the truth far less than 80 percent of the time.</t>
  </si>
  <si>
    <t xml:space="preserve">High estimate, 1 chance in 10 it falls above</t>
  </si>
  <si>
    <t xml:space="preserve">280 cups</t>
  </si>
  <si>
    <t xml:space="preserve">Implied mean</t>
  </si>
  <si>
    <t xml:space="preserve">200</t>
  </si>
  <si>
    <t xml:space="preserve">Implied standard deviation</t>
  </si>
  <si>
    <t xml:space="preserve">about 62</t>
  </si>
  <si>
    <t xml:space="preserve">C. Forecast log: score yourself and see your calibration</t>
  </si>
  <si>
    <t xml:space="preserve">Log real forecasts as you make them. Enter your probability and, when known, the outcome as 1 or 0. The sheet scores each with the Brier rule, where lower is better and 0.25 is the score of pure guessing.</t>
  </si>
  <si>
    <t xml:space="preserve">Forecast description</t>
  </si>
  <si>
    <t xml:space="preserve">Your p</t>
  </si>
  <si>
    <t xml:space="preserve">Outcome 0/1</t>
  </si>
  <si>
    <t xml:space="preserve">Brier score</t>
  </si>
  <si>
    <t xml:space="preserve">Second cart clears 200 cups in week one</t>
  </si>
  <si>
    <t xml:space="preserve">Partner cafe signs by June</t>
  </si>
  <si>
    <t xml:space="preserve">Fall club funding renewed</t>
  </si>
  <si>
    <t xml:space="preserve">Homecoming pop-up sells out</t>
  </si>
  <si>
    <t xml:space="preserve">Bean supplier delivers on time</t>
  </si>
  <si>
    <t xml:space="preserve">Mean Brier score across resolved forecasts</t>
  </si>
  <si>
    <t xml:space="preserve">0.253 on the seed rows</t>
  </si>
  <si>
    <t xml:space="preserve">Risk Tolerance R</t>
  </si>
  <si>
    <t xml:space="preserve">Pre-filled with Campus Grounds, an 8,000 dollar treasury. Two answerable questions produce the R the calculators use.</t>
  </si>
  <si>
    <t xml:space="preserve">Method 1. The quick rule</t>
  </si>
  <si>
    <t xml:space="preserve">Largest X where you would accept a 50/50 gamble of winning X or losing half of X</t>
  </si>
  <si>
    <t xml:space="preserve">$4,000, half the treasury</t>
  </si>
  <si>
    <t xml:space="preserve">Raise X until the gamble stops feeling acceptable. The largest acceptable X approximates your risk tolerance. This is the standard quick elicitation from decision analysis practice.</t>
  </si>
  <si>
    <t xml:space="preserve">Quick estimate of R</t>
  </si>
  <si>
    <t xml:space="preserve">$4,000</t>
  </si>
  <si>
    <t xml:space="preserve">Method 2. Refine with a certainty equivalent</t>
  </si>
  <si>
    <t xml:space="preserve">A gamble pays this on a win</t>
  </si>
  <si>
    <t xml:space="preserve">the second cart, good state</t>
  </si>
  <si>
    <t xml:space="preserve">And this on a loss</t>
  </si>
  <si>
    <t xml:space="preserve">the second cart, bad state</t>
  </si>
  <si>
    <t xml:space="preserve">Probability of the win</t>
  </si>
  <si>
    <t xml:space="preserve">0.79, the posterior</t>
  </si>
  <si>
    <t xml:space="preserve">The sure amount you would trade the gamble for</t>
  </si>
  <si>
    <t xml:space="preserve">$1,855</t>
  </si>
  <si>
    <t xml:space="preserve">Fitted risk tolerance R</t>
  </si>
  <si>
    <t xml:space="preserve">about $4,000</t>
  </si>
  <si>
    <t xml:space="preserve">Expected value of that gamble, for reference</t>
  </si>
  <si>
    <t xml:space="preserve">about $4,071</t>
  </si>
  <si>
    <t xml:space="preserve">R grid</t>
  </si>
  <si>
    <t xml:space="preserve">R</t>
  </si>
  <si>
    <t xml:space="preserve">CE at R</t>
  </si>
  <si>
    <t xml:space="preserve">|diff|</t>
  </si>
  <si>
    <t xml:space="preserve">Weights for Several Objectives at Once</t>
  </si>
  <si>
    <t xml:space="preserve">Pre-filled with Campus Grounds. Swing weighting turns worst-to-best comparisons into weights, then scores the actions.</t>
  </si>
  <si>
    <t xml:space="preserve">A. Attributes and swing ratings</t>
  </si>
  <si>
    <t xml:space="preserve">B. Score the actions, 0 = worst level, 100 = best level</t>
  </si>
  <si>
    <t xml:space="preserve">Attribute</t>
  </si>
  <si>
    <t xml:space="preserve">Worst level in play</t>
  </si>
  <si>
    <t xml:space="preserve">Best level in play</t>
  </si>
  <si>
    <t xml:space="preserve">Swing rank</t>
  </si>
  <si>
    <t xml:space="preserve">Rating 0–100</t>
  </si>
  <si>
    <t xml:space="preserve">Weight</t>
  </si>
  <si>
    <t xml:space="preserve">Action</t>
  </si>
  <si>
    <t xml:space="preserve">Overall utility</t>
  </si>
  <si>
    <t xml:space="preserve">Net profit</t>
  </si>
  <si>
    <t xml:space="preserve">−$3,000</t>
  </si>
  <si>
    <t xml:space="preserve">+$6,000</t>
  </si>
  <si>
    <t xml:space="preserve">0.50</t>
  </si>
  <si>
    <t xml:space="preserve">Second cart</t>
  </si>
  <si>
    <t xml:space="preserve">72.5</t>
  </si>
  <si>
    <t xml:space="preserve">Student experience</t>
  </si>
  <si>
    <t xml:space="preserve">poor</t>
  </si>
  <si>
    <t xml:space="preserve">excellent</t>
  </si>
  <si>
    <t xml:space="preserve">0.30</t>
  </si>
  <si>
    <t xml:space="preserve">Partner with dining</t>
  </si>
  <si>
    <t xml:space="preserve">61.5</t>
  </si>
  <si>
    <t xml:space="preserve">Volunteer workload</t>
  </si>
  <si>
    <t xml:space="preserve">heavy</t>
  </si>
  <si>
    <t xml:space="preserve">light</t>
  </si>
  <si>
    <t xml:space="preserve">0.20</t>
  </si>
  <si>
    <t xml:space="preserve">Hold</t>
  </si>
  <si>
    <t xml:space="preserve">40.0</t>
  </si>
  <si>
    <t xml:space="preserve">Best action on these objectives</t>
  </si>
  <si>
    <t xml:space="preserve">How to rate. Give 100 to the attribute whose swing from worst to best matters most. Rate every other swing against it. A rating of 60 says that swing matters 60 percent as much as the top one. The rank column is only a discipline check on the ratings.</t>
  </si>
  <si>
    <t xml:space="preserve">This grid is the multi-attribute utility in working form. It scores several objectives at once instead of dollars alone. The weighted score plays the role of U in the master formula, and the probabilities still come from the other tabs.</t>
  </si>
  <si>
    <t xml:space="preserve">Is the Signal Worth Paying For</t>
  </si>
  <si>
    <t xml:space="preserve">Pre-filled with the Campus Grounds pop-up trial. A signal is useful only when its likelihood differs across the states.</t>
  </si>
  <si>
    <t xml:space="preserve">The two questions to ask of any report, survey, or study</t>
  </si>
  <si>
    <t xml:space="preserve">How often would it fire if the state were TRUE, p(signal | true)</t>
  </si>
  <si>
    <t xml:space="preserve">0.75, from the cases</t>
  </si>
  <si>
    <t xml:space="preserve">How often would it fire if the state were FALSE, p(signal | false)</t>
  </si>
  <si>
    <t xml:space="preserve">0.25</t>
  </si>
  <si>
    <t xml:space="preserve">Likelihood ratio</t>
  </si>
  <si>
    <t xml:space="preserve">3.00, informative</t>
  </si>
  <si>
    <t xml:space="preserve">Your prior that the state is true</t>
  </si>
  <si>
    <t xml:space="preserve">0.55, from Tab 1</t>
  </si>
  <si>
    <t xml:space="preserve">Posterior if the signal fires</t>
  </si>
  <si>
    <t xml:space="preserve">0.79</t>
  </si>
  <si>
    <t xml:space="preserve">Posterior if the signal stays silent</t>
  </si>
  <si>
    <t xml:space="preserve">0.29</t>
  </si>
  <si>
    <t xml:space="preserve">Finished Inputs, Ready for the Calculators</t>
  </si>
  <si>
    <t xml:space="preserve">Carry these values into the decision calculators. Each cell traces back to its elicitation tab.</t>
  </si>
  <si>
    <t xml:space="preserve">Input</t>
  </si>
  <si>
    <t xml:space="preserve">Value</t>
  </si>
  <si>
    <t xml:space="preserve">Where it goes</t>
  </si>
  <si>
    <t xml:space="preserve">Prior probability, anchored in the reference class</t>
  </si>
  <si>
    <t xml:space="preserve">0.55</t>
  </si>
  <si>
    <t xml:space="preserve">Paste into the prior cell of the two-state or three-state calculator.</t>
  </si>
  <si>
    <t xml:space="preserve">Mean of the continuous state</t>
  </si>
  <si>
    <t xml:space="preserve">Paste into the mean cell of the workbook-order calculator.</t>
  </si>
  <si>
    <t xml:space="preserve">Standard deviation of the continuous state</t>
  </si>
  <si>
    <t xml:space="preserve">Paste into the standard deviation cell of the same calculator.</t>
  </si>
  <si>
    <t xml:space="preserve">Risk tolerance R, fitted</t>
  </si>
  <si>
    <t xml:space="preserve">Paste into the risk tolerance cell of any calculator.</t>
  </si>
  <si>
    <t xml:space="preserve">Calibration score, mean Brier</t>
  </si>
  <si>
    <t xml:space="preserve">Below 0.10 is well calibrated. Near 0.25 is guessing.</t>
  </si>
  <si>
    <t xml:space="preserve">Best action on several objectives</t>
  </si>
  <si>
    <t xml:space="preserve">From the weighted multi-attribute grid.</t>
  </si>
  <si>
    <t xml:space="preserve">Likelihood ratio of the signal under test</t>
  </si>
  <si>
    <t xml:space="preserve">3.00</t>
  </si>
  <si>
    <t xml:space="preserve">Above 3 is informative. Below 1.5 is weak.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</si>
</sst>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0"/>
    <numFmt numFmtId="167" formatCode="0.000"/>
    <numFmt numFmtId="168" formatCode="\$#,##0;&quot;($&quot;#,##0\)"/>
    <numFmt numFmtId="169" formatCode="0.0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B6B7B"/>
      <name val="Arial"/>
      <family val="0"/>
      <charset val="1"/>
    </font>
    <font>
      <sz val="10"/>
      <color rgb="FF1A2230"/>
      <name val="Arial"/>
      <family val="0"/>
      <charset val="1"/>
    </font>
    <font>
      <i val="true"/>
      <sz val="10"/>
      <color rgb="FF1A223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41E42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10"/>
      <color rgb="FFB8933D"/>
      <name val="Arial"/>
      <family val="0"/>
      <charset val="1"/>
    </font>
    <font>
      <b val="true"/>
      <sz val="10"/>
      <color rgb="FF1A2230"/>
      <name val="Arial"/>
      <family val="0"/>
      <charset val="1"/>
    </font>
    <font>
      <b val="true"/>
      <sz val="11"/>
      <color rgb="FF1A2230"/>
      <name val="Arial"/>
      <family val="0"/>
      <charset val="1"/>
    </font>
    <font>
      <sz val="11"/>
      <color rgb="FF1A2230"/>
      <name val="Arial"/>
      <family val="0"/>
      <charset val="1"/>
    </font>
    <font>
      <sz val="9"/>
      <color rgb="FF1A2230"/>
      <name val="Arial"/>
      <family val="0"/>
      <charset val="1"/>
    </font>
    <font>
      <b val="true"/>
      <sz val="9"/>
      <color rgb="FF5B6B7B"/>
      <name val="Arial"/>
      <family val="0"/>
      <charset val="1"/>
    </font>
    <font>
      <sz val="8"/>
      <color rgb="FF5B6B7B"/>
      <name val="Arial"/>
      <family val="0"/>
      <charset val="1"/>
    </font>
    <font>
      <sz val="8"/>
      <color rgb="FFAAAAAA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5B6B7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41E42"/>
        <bgColor rgb="FF1A2230"/>
      </patternFill>
    </fill>
    <fill>
      <patternFill patternType="solid">
        <fgColor rgb="FFFBF6EA"/>
        <bgColor rgb="FFF2EFE6"/>
      </patternFill>
    </fill>
    <fill>
      <patternFill patternType="solid">
        <fgColor rgb="FFFFF3C4"/>
        <bgColor rgb="FFFBF6EA"/>
      </patternFill>
    </fill>
    <fill>
      <patternFill patternType="solid">
        <fgColor rgb="FFF2EFE6"/>
        <bgColor rgb="FFFBF6EA"/>
      </patternFill>
    </fill>
    <fill>
      <patternFill patternType="solid">
        <fgColor rgb="FFE8D8AA"/>
        <bgColor rgb="FFC9C2B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2B2"/>
      </left>
      <right style="thin">
        <color rgb="FFC9C2B2"/>
      </right>
      <top style="thin">
        <color rgb="FFC9C2B2"/>
      </top>
      <bottom style="thin">
        <color rgb="FFC9C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4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933D"/>
      <rgbColor rgb="FF800080"/>
      <rgbColor rgb="FF008080"/>
      <rgbColor rgb="FFC9C2B2"/>
      <rgbColor rgb="FF808080"/>
      <rgbColor rgb="FF9999FF"/>
      <rgbColor rgb="FF993366"/>
      <rgbColor rgb="FFFFF3C4"/>
      <rgbColor rgb="FFF2EF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BF6EA"/>
      <rgbColor rgb="FFCCFFCC"/>
      <rgbColor rgb="FFFFFF99"/>
      <rgbColor rgb="FF99CCFF"/>
      <rgbColor rgb="FFFF99CC"/>
      <rgbColor rgb="FFCC99FF"/>
      <rgbColor rgb="FFE8D8AA"/>
      <rgbColor rgb="FF3366FF"/>
      <rgbColor rgb="FF33CCCC"/>
      <rgbColor rgb="FF99CC00"/>
      <rgbColor rgb="FFFFCC00"/>
      <rgbColor rgb="FFFF9900"/>
      <rgbColor rgb="FFFF6600"/>
      <rgbColor rgb="FF5B6B7B"/>
      <rgbColor rgb="FFAAAAAA"/>
      <rgbColor rgb="FF041E42"/>
      <rgbColor rgb="FF339966"/>
      <rgbColor rgb="FF003300"/>
      <rgbColor rgb="FF333300"/>
      <rgbColor rgb="FF993300"/>
      <rgbColor rgb="FF993366"/>
      <rgbColor rgb="FF333399"/>
      <rgbColor rgb="FF1A22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10"/>
  </cols>
  <sheetData>
    <row r="1" customFormat="false" ht="24" hidden="false" customHeight="true" outlineLevel="0" collapsed="false">
      <c r="B1" s="1" t="s">
        <v>0</v>
      </c>
    </row>
    <row r="2" customFormat="false" ht="25.5" hidden="false" customHeight="true" outlineLevel="0" collapsed="false">
      <c r="B2" s="2" t="s">
        <v>1</v>
      </c>
    </row>
    <row r="4" customFormat="false" ht="39.75" hidden="false" customHeight="true" outlineLevel="0" collapsed="false">
      <c r="B4" s="3" t="s">
        <v>2</v>
      </c>
    </row>
    <row r="5" customFormat="false" ht="15.75" hidden="false" customHeight="true" outlineLevel="0" collapsed="false">
      <c r="B5" s="3"/>
    </row>
    <row r="6" customFormat="false" ht="27.75" hidden="false" customHeight="true" outlineLevel="0" collapsed="false">
      <c r="B6" s="3" t="s">
        <v>3</v>
      </c>
    </row>
    <row r="7" customFormat="false" ht="15.75" hidden="false" customHeight="true" outlineLevel="0" collapsed="false">
      <c r="B7" s="3"/>
    </row>
    <row r="8" customFormat="false" ht="39.75" hidden="false" customHeight="true" outlineLevel="0" collapsed="false">
      <c r="B8" s="3" t="s">
        <v>4</v>
      </c>
    </row>
    <row r="9" customFormat="false" ht="27.75" hidden="false" customHeight="true" outlineLevel="0" collapsed="false">
      <c r="B9" s="3" t="s">
        <v>5</v>
      </c>
    </row>
    <row r="10" customFormat="false" ht="27.75" hidden="false" customHeight="true" outlineLevel="0" collapsed="false">
      <c r="B10" s="3" t="s">
        <v>6</v>
      </c>
    </row>
    <row r="11" customFormat="false" ht="27.75" hidden="false" customHeight="true" outlineLevel="0" collapsed="false">
      <c r="B11" s="3" t="s">
        <v>7</v>
      </c>
    </row>
    <row r="12" customFormat="false" ht="15.75" hidden="false" customHeight="true" outlineLevel="0" collapsed="false">
      <c r="B12" s="3" t="s">
        <v>8</v>
      </c>
    </row>
    <row r="13" customFormat="false" ht="15.75" hidden="false" customHeight="true" outlineLevel="0" collapsed="false">
      <c r="B13" s="3"/>
    </row>
    <row r="14" customFormat="false" ht="27.75" hidden="false" customHeight="true" outlineLevel="0" collapsed="false">
      <c r="B14" s="4" t="s">
        <v>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8" min="5" style="0" width="12"/>
    <col collapsed="false" customWidth="true" hidden="false" outlineLevel="0" max="9" min="9" style="0" width="14"/>
  </cols>
  <sheetData>
    <row r="1" customFormat="false" ht="24" hidden="false" customHeight="true" outlineLevel="0" collapsed="false">
      <c r="B1" s="5" t="s">
        <v>10</v>
      </c>
      <c r="C1" s="5"/>
      <c r="D1" s="5"/>
      <c r="E1" s="5"/>
      <c r="F1" s="5"/>
      <c r="G1" s="5"/>
      <c r="H1" s="5"/>
      <c r="I1" s="5"/>
    </row>
    <row r="2" customFormat="false" ht="25.5" hidden="false" customHeight="true" outlineLevel="0" collapsed="false">
      <c r="B2" s="6" t="s">
        <v>11</v>
      </c>
      <c r="C2" s="6"/>
      <c r="D2" s="6"/>
      <c r="E2" s="6"/>
      <c r="F2" s="6"/>
      <c r="G2" s="6"/>
      <c r="H2" s="6"/>
      <c r="I2" s="6"/>
    </row>
    <row r="4" customFormat="false" ht="15" hidden="false" customHeight="false" outlineLevel="0" collapsed="false">
      <c r="B4" s="7" t="s">
        <v>12</v>
      </c>
      <c r="C4" s="7"/>
      <c r="D4" s="8" t="s">
        <v>13</v>
      </c>
    </row>
    <row r="5" customFormat="false" ht="15" hidden="false" customHeight="false" outlineLevel="0" collapsed="false">
      <c r="B5" s="9" t="s">
        <v>14</v>
      </c>
      <c r="C5" s="10" t="n">
        <v>12</v>
      </c>
      <c r="D5" s="11" t="s">
        <v>15</v>
      </c>
    </row>
    <row r="6" customFormat="false" ht="15" hidden="false" customHeight="false" outlineLevel="0" collapsed="false">
      <c r="B6" s="9" t="s">
        <v>16</v>
      </c>
      <c r="C6" s="10" t="n">
        <v>7</v>
      </c>
      <c r="D6" s="11" t="s">
        <v>17</v>
      </c>
    </row>
    <row r="7" customFormat="false" ht="15" hidden="false" customHeight="false" outlineLevel="0" collapsed="false">
      <c r="B7" s="12" t="s">
        <v>18</v>
      </c>
      <c r="C7" s="13" t="n">
        <f aca="false">IF(C5&gt;0,C6/C5,"")</f>
        <v>0.583333333333333</v>
      </c>
      <c r="D7" s="11" t="s">
        <v>19</v>
      </c>
    </row>
    <row r="8" customFormat="false" ht="15" hidden="false" customHeight="false" outlineLevel="0" collapsed="false">
      <c r="B8" s="9" t="s">
        <v>20</v>
      </c>
      <c r="C8" s="14" t="n">
        <v>0.55</v>
      </c>
      <c r="D8" s="11" t="s">
        <v>21</v>
      </c>
      <c r="E8" s="6" t="str">
        <f aca="false">IF(C9&gt;0.25,"Your prior sits far from the base rate. That can be right, but it needs a stated reason. Write the reason down before you keep the number.","Your prior stays near the base rate. Adjust only for named differences between this case and the reference class.")</f>
        <v>Your prior stays near the base rate. Adjust only for named differences between this case and the reference class.</v>
      </c>
      <c r="F8" s="6"/>
      <c r="G8" s="6"/>
      <c r="H8" s="6"/>
      <c r="I8" s="6"/>
    </row>
    <row r="9" customFormat="false" ht="15" hidden="false" customHeight="false" outlineLevel="0" collapsed="false">
      <c r="B9" s="9" t="s">
        <v>22</v>
      </c>
      <c r="C9" s="15" t="n">
        <f aca="false">ABS(C8-C7)</f>
        <v>0.0333333333333333</v>
      </c>
      <c r="D9" s="11" t="s">
        <v>23</v>
      </c>
      <c r="E9" s="6"/>
      <c r="F9" s="6"/>
      <c r="G9" s="6"/>
      <c r="H9" s="6"/>
      <c r="I9" s="6"/>
    </row>
    <row r="11" customFormat="false" ht="15" hidden="false" customHeight="false" outlineLevel="0" collapsed="false">
      <c r="B11" s="7" t="s">
        <v>24</v>
      </c>
      <c r="C11" s="7"/>
      <c r="D11" s="8" t="s">
        <v>13</v>
      </c>
    </row>
    <row r="12" customFormat="false" ht="15" hidden="false" customHeight="true" outlineLevel="0" collapsed="false">
      <c r="B12" s="16" t="s">
        <v>25</v>
      </c>
      <c r="C12" s="10" t="n">
        <v>120</v>
      </c>
      <c r="D12" s="11" t="s">
        <v>26</v>
      </c>
      <c r="E12" s="6" t="s">
        <v>27</v>
      </c>
      <c r="F12" s="6"/>
      <c r="G12" s="6"/>
      <c r="H12" s="6"/>
      <c r="I12" s="6"/>
    </row>
    <row r="13" customFormat="false" ht="15" hidden="false" customHeight="false" outlineLevel="0" collapsed="false">
      <c r="B13" s="16" t="s">
        <v>28</v>
      </c>
      <c r="C13" s="10" t="n">
        <v>280</v>
      </c>
      <c r="D13" s="11" t="s">
        <v>29</v>
      </c>
      <c r="E13" s="6"/>
      <c r="F13" s="6"/>
      <c r="G13" s="6"/>
      <c r="H13" s="6"/>
      <c r="I13" s="6"/>
    </row>
    <row r="14" customFormat="false" ht="15" hidden="false" customHeight="false" outlineLevel="0" collapsed="false">
      <c r="B14" s="12" t="s">
        <v>30</v>
      </c>
      <c r="C14" s="17" t="n">
        <f aca="false">(C12+C13)/2</f>
        <v>200</v>
      </c>
      <c r="D14" s="11" t="s">
        <v>31</v>
      </c>
      <c r="E14" s="6"/>
      <c r="F14" s="6"/>
      <c r="G14" s="6"/>
      <c r="H14" s="6"/>
      <c r="I14" s="6"/>
    </row>
    <row r="15" customFormat="false" ht="15" hidden="false" customHeight="false" outlineLevel="0" collapsed="false">
      <c r="B15" s="12" t="s">
        <v>32</v>
      </c>
      <c r="C15" s="17" t="n">
        <f aca="false">(C13-C12)/2.5631</f>
        <v>62.4244079435059</v>
      </c>
      <c r="D15" s="11" t="s">
        <v>33</v>
      </c>
      <c r="E15" s="6"/>
      <c r="F15" s="6"/>
      <c r="G15" s="6"/>
      <c r="H15" s="6"/>
      <c r="I15" s="6"/>
    </row>
    <row r="17" customFormat="false" ht="15" hidden="false" customHeight="false" outlineLevel="0" collapsed="false">
      <c r="B17" s="7" t="s">
        <v>34</v>
      </c>
      <c r="C17" s="7"/>
      <c r="D17" s="7"/>
      <c r="E17" s="7"/>
      <c r="F17" s="7"/>
      <c r="G17" s="7"/>
      <c r="H17" s="7"/>
      <c r="I17" s="7"/>
    </row>
    <row r="18" customFormat="false" ht="25.5" hidden="false" customHeight="true" outlineLevel="0" collapsed="false">
      <c r="B18" s="6" t="s">
        <v>35</v>
      </c>
      <c r="C18" s="6"/>
      <c r="D18" s="6"/>
      <c r="E18" s="6"/>
      <c r="F18" s="6"/>
      <c r="G18" s="6"/>
      <c r="H18" s="6"/>
      <c r="I18" s="6"/>
    </row>
    <row r="19" customFormat="false" ht="15" hidden="false" customHeight="false" outlineLevel="0" collapsed="false">
      <c r="B19" s="18" t="s">
        <v>36</v>
      </c>
      <c r="C19" s="19" t="s">
        <v>37</v>
      </c>
      <c r="D19" s="19" t="s">
        <v>38</v>
      </c>
      <c r="E19" s="19" t="s">
        <v>39</v>
      </c>
    </row>
    <row r="20" customFormat="false" ht="15" hidden="false" customHeight="false" outlineLevel="0" collapsed="false">
      <c r="B20" s="20" t="s">
        <v>40</v>
      </c>
      <c r="C20" s="14" t="n">
        <v>0.8</v>
      </c>
      <c r="D20" s="10" t="n">
        <v>1</v>
      </c>
      <c r="E20" s="21" t="n">
        <f aca="false">IF(AND(ISNUMBER(C20),ISNUMBER(D20)),(C20-D20)^2,"")</f>
        <v>0.04</v>
      </c>
    </row>
    <row r="21" customFormat="false" ht="15" hidden="false" customHeight="false" outlineLevel="0" collapsed="false">
      <c r="B21" s="20" t="s">
        <v>41</v>
      </c>
      <c r="C21" s="14" t="n">
        <v>0.7</v>
      </c>
      <c r="D21" s="10" t="n">
        <v>0</v>
      </c>
      <c r="E21" s="21" t="n">
        <f aca="false">IF(AND(ISNUMBER(C21),ISNUMBER(D21)),(C21-D21)^2,"")</f>
        <v>0.49</v>
      </c>
    </row>
    <row r="22" customFormat="false" ht="15" hidden="false" customHeight="false" outlineLevel="0" collapsed="false">
      <c r="B22" s="20" t="s">
        <v>42</v>
      </c>
      <c r="C22" s="14" t="n">
        <v>0.9</v>
      </c>
      <c r="D22" s="10" t="n">
        <v>1</v>
      </c>
      <c r="E22" s="21" t="n">
        <f aca="false">IF(AND(ISNUMBER(C22),ISNUMBER(D22)),(C22-D22)^2,"")</f>
        <v>0.01</v>
      </c>
    </row>
    <row r="23" customFormat="false" ht="15" hidden="false" customHeight="false" outlineLevel="0" collapsed="false">
      <c r="B23" s="20" t="s">
        <v>43</v>
      </c>
      <c r="C23" s="14" t="n">
        <v>0.6</v>
      </c>
      <c r="D23" s="10" t="n">
        <v>1</v>
      </c>
      <c r="E23" s="21" t="n">
        <f aca="false">IF(AND(ISNUMBER(C23),ISNUMBER(D23)),(C23-D23)^2,"")</f>
        <v>0.16</v>
      </c>
    </row>
    <row r="24" customFormat="false" ht="15" hidden="false" customHeight="false" outlineLevel="0" collapsed="false">
      <c r="B24" s="20" t="s">
        <v>44</v>
      </c>
      <c r="C24" s="14" t="n">
        <v>0.75</v>
      </c>
      <c r="D24" s="10" t="n">
        <v>0</v>
      </c>
      <c r="E24" s="21" t="n">
        <f aca="false">IF(AND(ISNUMBER(C24),ISNUMBER(D24)),(C24-D24)^2,"")</f>
        <v>0.5625</v>
      </c>
    </row>
    <row r="25" customFormat="false" ht="15" hidden="false" customHeight="false" outlineLevel="0" collapsed="false">
      <c r="B25" s="20"/>
      <c r="C25" s="14"/>
      <c r="D25" s="10"/>
      <c r="E25" s="21" t="str">
        <f aca="false">IF(AND(ISNUMBER(C25),ISNUMBER(D25)),(C25-D25)^2,"")</f>
        <v/>
      </c>
    </row>
    <row r="26" customFormat="false" ht="15" hidden="false" customHeight="false" outlineLevel="0" collapsed="false">
      <c r="B26" s="20"/>
      <c r="C26" s="14"/>
      <c r="D26" s="10"/>
      <c r="E26" s="21" t="str">
        <f aca="false">IF(AND(ISNUMBER(C26),ISNUMBER(D26)),(C26-D26)^2,"")</f>
        <v/>
      </c>
    </row>
    <row r="27" customFormat="false" ht="15" hidden="false" customHeight="false" outlineLevel="0" collapsed="false">
      <c r="B27" s="20"/>
      <c r="C27" s="14"/>
      <c r="D27" s="10"/>
      <c r="E27" s="21" t="str">
        <f aca="false">IF(AND(ISNUMBER(C27),ISNUMBER(D27)),(C27-D27)^2,"")</f>
        <v/>
      </c>
    </row>
    <row r="28" customFormat="false" ht="15" hidden="false" customHeight="false" outlineLevel="0" collapsed="false">
      <c r="B28" s="20"/>
      <c r="C28" s="14"/>
      <c r="D28" s="10"/>
      <c r="E28" s="21" t="str">
        <f aca="false">IF(AND(ISNUMBER(C28),ISNUMBER(D28)),(C28-D28)^2,"")</f>
        <v/>
      </c>
    </row>
    <row r="29" customFormat="false" ht="15" hidden="false" customHeight="false" outlineLevel="0" collapsed="false">
      <c r="B29" s="20"/>
      <c r="C29" s="14"/>
      <c r="D29" s="10"/>
      <c r="E29" s="21" t="str">
        <f aca="false">IF(AND(ISNUMBER(C29),ISNUMBER(D29)),(C29-D29)^2,"")</f>
        <v/>
      </c>
    </row>
    <row r="30" customFormat="false" ht="15" hidden="false" customHeight="false" outlineLevel="0" collapsed="false">
      <c r="B30" s="20"/>
      <c r="C30" s="14"/>
      <c r="D30" s="10"/>
      <c r="E30" s="21" t="str">
        <f aca="false">IF(AND(ISNUMBER(C30),ISNUMBER(D30)),(C30-D30)^2,"")</f>
        <v/>
      </c>
    </row>
    <row r="31" customFormat="false" ht="15" hidden="false" customHeight="false" outlineLevel="0" collapsed="false">
      <c r="B31" s="20"/>
      <c r="C31" s="14"/>
      <c r="D31" s="10"/>
      <c r="E31" s="21" t="str">
        <f aca="false">IF(AND(ISNUMBER(C31),ISNUMBER(D31)),(C31-D31)^2,"")</f>
        <v/>
      </c>
    </row>
    <row r="32" customFormat="false" ht="15" hidden="false" customHeight="false" outlineLevel="0" collapsed="false">
      <c r="B32" s="20"/>
      <c r="C32" s="14"/>
      <c r="D32" s="10"/>
      <c r="E32" s="21" t="str">
        <f aca="false">IF(AND(ISNUMBER(C32),ISNUMBER(D32)),(C32-D32)^2,"")</f>
        <v/>
      </c>
    </row>
    <row r="33" customFormat="false" ht="15" hidden="false" customHeight="false" outlineLevel="0" collapsed="false">
      <c r="B33" s="20"/>
      <c r="C33" s="14"/>
      <c r="D33" s="10"/>
      <c r="E33" s="21" t="str">
        <f aca="false">IF(AND(ISNUMBER(C33),ISNUMBER(D33)),(C33-D33)^2,"")</f>
        <v/>
      </c>
    </row>
    <row r="34" customFormat="false" ht="15" hidden="false" customHeight="false" outlineLevel="0" collapsed="false">
      <c r="B34" s="20"/>
      <c r="C34" s="14"/>
      <c r="D34" s="10"/>
      <c r="E34" s="21" t="str">
        <f aca="false">IF(AND(ISNUMBER(C34),ISNUMBER(D34)),(C34-D34)^2,"")</f>
        <v/>
      </c>
    </row>
    <row r="35" customFormat="false" ht="15" hidden="false" customHeight="false" outlineLevel="0" collapsed="false">
      <c r="B35" s="20"/>
      <c r="C35" s="14"/>
      <c r="D35" s="10"/>
      <c r="E35" s="21" t="str">
        <f aca="false">IF(AND(ISNUMBER(C35),ISNUMBER(D35)),(C35-D35)^2,"")</f>
        <v/>
      </c>
    </row>
    <row r="36" customFormat="false" ht="15" hidden="false" customHeight="false" outlineLevel="0" collapsed="false">
      <c r="B36" s="20"/>
      <c r="C36" s="14"/>
      <c r="D36" s="10"/>
      <c r="E36" s="21" t="str">
        <f aca="false">IF(AND(ISNUMBER(C36),ISNUMBER(D36)),(C36-D36)^2,"")</f>
        <v/>
      </c>
    </row>
    <row r="37" customFormat="false" ht="15" hidden="false" customHeight="false" outlineLevel="0" collapsed="false">
      <c r="B37" s="20"/>
      <c r="C37" s="14"/>
      <c r="D37" s="10"/>
      <c r="E37" s="21" t="str">
        <f aca="false">IF(AND(ISNUMBER(C37),ISNUMBER(D37)),(C37-D37)^2,"")</f>
        <v/>
      </c>
    </row>
    <row r="38" customFormat="false" ht="15" hidden="false" customHeight="false" outlineLevel="0" collapsed="false">
      <c r="B38" s="20"/>
      <c r="C38" s="14"/>
      <c r="D38" s="10"/>
      <c r="E38" s="21" t="str">
        <f aca="false">IF(AND(ISNUMBER(C38),ISNUMBER(D38)),(C38-D38)^2,"")</f>
        <v/>
      </c>
    </row>
    <row r="39" customFormat="false" ht="15" hidden="false" customHeight="false" outlineLevel="0" collapsed="false">
      <c r="B39" s="20"/>
      <c r="C39" s="14"/>
      <c r="D39" s="10"/>
      <c r="E39" s="21" t="str">
        <f aca="false">IF(AND(ISNUMBER(C39),ISNUMBER(D39)),(C39-D39)^2,"")</f>
        <v/>
      </c>
    </row>
    <row r="41" customFormat="false" ht="15" hidden="false" customHeight="false" outlineLevel="0" collapsed="false">
      <c r="B41" s="12" t="s">
        <v>45</v>
      </c>
      <c r="C41" s="22" t="n">
        <f aca="false">IFERROR(AVERAGE(E20:E39),"")</f>
        <v>0.2525</v>
      </c>
      <c r="D41" s="11" t="s">
        <v>46</v>
      </c>
      <c r="E41" s="23" t="str">
        <f aca="false">IF(C41="","",IF(C41&lt;0.1,"Well calibrated so far.",IF(C41&lt;0.2,"Reasonable. Watch the confident misses.","Your stated probabilities are running ahead of your accuracy. Pull confident forecasts toward the base rate.")))</f>
        <v>Your stated probabilities are running ahead of your accuracy. Pull confident forecasts toward the base rate.</v>
      </c>
      <c r="F41" s="23"/>
      <c r="G41" s="23"/>
      <c r="H41" s="23"/>
      <c r="I41" s="23"/>
    </row>
  </sheetData>
  <mergeCells count="9">
    <mergeCell ref="B1:I1"/>
    <mergeCell ref="B2:I2"/>
    <mergeCell ref="B4:C4"/>
    <mergeCell ref="E8:I9"/>
    <mergeCell ref="B11:C11"/>
    <mergeCell ref="E12:I15"/>
    <mergeCell ref="B17:I17"/>
    <mergeCell ref="B18:I18"/>
    <mergeCell ref="E41:I41"/>
  </mergeCells>
  <dataValidations count="1">
    <dataValidation allowBlank="true" error="Enter a probability from 0 to 1." errorStyle="stop" operator="between" showDropDown="false" showErrorMessage="true" showInputMessage="false" sqref="C8 C20:C39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8" min="6" style="0" width="14"/>
    <col collapsed="false" customWidth="true" hidden="false" outlineLevel="0" max="9" min="9" style="0" width="3"/>
  </cols>
  <sheetData>
    <row r="1" customFormat="false" ht="24" hidden="false" customHeight="true" outlineLevel="0" collapsed="false">
      <c r="B1" s="5" t="s">
        <v>47</v>
      </c>
      <c r="C1" s="5"/>
      <c r="D1" s="5"/>
      <c r="E1" s="5"/>
      <c r="F1" s="5"/>
      <c r="G1" s="5"/>
      <c r="H1" s="5"/>
      <c r="I1" s="5"/>
    </row>
    <row r="2" customFormat="false" ht="25.5" hidden="false" customHeight="true" outlineLevel="0" collapsed="false">
      <c r="B2" s="6" t="s">
        <v>48</v>
      </c>
      <c r="C2" s="6"/>
      <c r="D2" s="6"/>
      <c r="E2" s="6"/>
      <c r="F2" s="6"/>
      <c r="G2" s="6"/>
      <c r="H2" s="6"/>
      <c r="I2" s="6"/>
    </row>
    <row r="4" customFormat="false" ht="15" hidden="false" customHeight="false" outlineLevel="0" collapsed="false">
      <c r="B4" s="7" t="s">
        <v>49</v>
      </c>
      <c r="C4" s="7"/>
      <c r="D4" s="8" t="s">
        <v>13</v>
      </c>
    </row>
    <row r="5" customFormat="false" ht="23.85" hidden="false" customHeight="true" outlineLevel="0" collapsed="false">
      <c r="B5" s="16" t="s">
        <v>50</v>
      </c>
      <c r="C5" s="24" t="n">
        <v>4000</v>
      </c>
      <c r="D5" s="11" t="s">
        <v>51</v>
      </c>
      <c r="E5" s="6" t="s">
        <v>52</v>
      </c>
      <c r="F5" s="6"/>
      <c r="G5" s="6"/>
      <c r="H5" s="6"/>
    </row>
    <row r="6" customFormat="false" ht="15" hidden="false" customHeight="false" outlineLevel="0" collapsed="false">
      <c r="B6" s="12" t="s">
        <v>53</v>
      </c>
      <c r="C6" s="25" t="n">
        <f aca="false">C5</f>
        <v>4000</v>
      </c>
      <c r="D6" s="11" t="s">
        <v>54</v>
      </c>
      <c r="E6" s="6"/>
      <c r="F6" s="6"/>
      <c r="G6" s="6"/>
      <c r="H6" s="6"/>
    </row>
    <row r="8" customFormat="false" ht="15" hidden="false" customHeight="false" outlineLevel="0" collapsed="false">
      <c r="B8" s="7" t="s">
        <v>55</v>
      </c>
      <c r="C8" s="7"/>
      <c r="D8" s="8" t="s">
        <v>13</v>
      </c>
    </row>
    <row r="9" customFormat="false" ht="15" hidden="false" customHeight="false" outlineLevel="0" collapsed="false">
      <c r="B9" s="9" t="s">
        <v>56</v>
      </c>
      <c r="C9" s="24" t="n">
        <v>6000</v>
      </c>
      <c r="D9" s="11" t="s">
        <v>57</v>
      </c>
    </row>
    <row r="10" customFormat="false" ht="15" hidden="false" customHeight="false" outlineLevel="0" collapsed="false">
      <c r="B10" s="9" t="s">
        <v>58</v>
      </c>
      <c r="C10" s="24" t="n">
        <v>-3000</v>
      </c>
      <c r="D10" s="11" t="s">
        <v>59</v>
      </c>
    </row>
    <row r="11" customFormat="false" ht="15" hidden="false" customHeight="false" outlineLevel="0" collapsed="false">
      <c r="B11" s="9" t="s">
        <v>60</v>
      </c>
      <c r="C11" s="14" t="n">
        <v>0.7857</v>
      </c>
      <c r="D11" s="11" t="s">
        <v>61</v>
      </c>
    </row>
    <row r="12" customFormat="false" ht="15" hidden="false" customHeight="false" outlineLevel="0" collapsed="false">
      <c r="B12" s="16" t="s">
        <v>62</v>
      </c>
      <c r="C12" s="24" t="n">
        <v>1855</v>
      </c>
      <c r="D12" s="11" t="s">
        <v>63</v>
      </c>
    </row>
    <row r="13" customFormat="false" ht="15" hidden="false" customHeight="false" outlineLevel="0" collapsed="false">
      <c r="B13" s="12" t="s">
        <v>64</v>
      </c>
      <c r="C13" s="26" t="n">
        <f aca="false">INDEX(F21:F110,MATCH(MIN(H21:H110),H21:H110,0))</f>
        <v>3901.23928726184</v>
      </c>
      <c r="D13" s="11" t="s">
        <v>65</v>
      </c>
    </row>
    <row r="14" customFormat="false" ht="15" hidden="false" customHeight="false" outlineLevel="0" collapsed="false">
      <c r="B14" s="9" t="s">
        <v>66</v>
      </c>
      <c r="C14" s="27" t="n">
        <f aca="false">C11*C9+(1-C11)*C10</f>
        <v>4071.3</v>
      </c>
      <c r="D14" s="11" t="s">
        <v>67</v>
      </c>
    </row>
    <row r="16" customFormat="false" ht="15" hidden="false" customHeight="false" outlineLevel="0" collapsed="false">
      <c r="B16" s="6" t="str">
        <f aca="false">CONCATENATE("Consistency check. At the fitted R, a 50/50 gamble of +1,000 / −500 is worth the same as a sure ",TEXT(-C13*LN(0.5*EXP(-1000/C13)+0.5*EXP(500/C13)),"$#,##0"),". If that sure amount feels wrong, revisit the certainty equivalent above.")</f>
        <v>Consistency check. At the fitted R, a 50/50 gamble of +1,000 / −500 is worth the same as a sure $178. If that sure amount feels wrong, revisit the certainty equivalent above.</v>
      </c>
      <c r="C16" s="6"/>
      <c r="D16" s="6"/>
      <c r="E16" s="6"/>
      <c r="F16" s="6"/>
      <c r="G16" s="6"/>
      <c r="H16" s="6"/>
    </row>
    <row r="17" customFormat="false" ht="15" hidden="false" customHeight="false" outlineLevel="0" collapsed="false">
      <c r="B17" s="6"/>
      <c r="C17" s="6"/>
      <c r="D17" s="6"/>
      <c r="E17" s="6"/>
      <c r="F17" s="6"/>
      <c r="G17" s="6"/>
      <c r="H17" s="6"/>
    </row>
    <row r="20" customFormat="false" ht="15" hidden="false" customHeight="false" outlineLevel="0" collapsed="false">
      <c r="E20" s="28" t="s">
        <v>68</v>
      </c>
      <c r="F20" s="28" t="s">
        <v>69</v>
      </c>
      <c r="G20" s="28" t="s">
        <v>70</v>
      </c>
      <c r="H20" s="28" t="s">
        <v>71</v>
      </c>
    </row>
    <row r="21" customFormat="false" ht="15" hidden="false" customHeight="false" outlineLevel="0" collapsed="false">
      <c r="E21" s="29" t="n">
        <v>1</v>
      </c>
      <c r="F21" s="30" t="n">
        <f aca="false">MAX(ABS($C$9),ABS($C$10))*0.12*1.06^(E21-1)</f>
        <v>720</v>
      </c>
      <c r="G21" s="31" t="n">
        <f aca="false">-F21*LN($C$11*EXP(-$C$9/F21)+(1-$C$11)*EXP(-$C$10/F21))</f>
        <v>-1890.93740638058</v>
      </c>
      <c r="H21" s="31" t="n">
        <f aca="false">ABS(G21-$C$12)</f>
        <v>3745.93740638058</v>
      </c>
    </row>
    <row r="22" customFormat="false" ht="15" hidden="false" customHeight="false" outlineLevel="0" collapsed="false">
      <c r="E22" s="29" t="n">
        <v>2</v>
      </c>
      <c r="F22" s="30" t="n">
        <f aca="false">MAX(ABS($C$9),ABS($C$10))*0.12*1.06^(E22-1)</f>
        <v>763.2</v>
      </c>
      <c r="G22" s="31" t="n">
        <f aca="false">-F22*LN($C$11*EXP(-$C$9/F22)+(1-$C$11)*EXP(-$C$10/F22))</f>
        <v>-1824.40438081541</v>
      </c>
      <c r="H22" s="31" t="n">
        <f aca="false">ABS(G22-$C$12)</f>
        <v>3679.40438081541</v>
      </c>
    </row>
    <row r="23" customFormat="false" ht="15" hidden="false" customHeight="false" outlineLevel="0" collapsed="false">
      <c r="E23" s="29" t="n">
        <v>3</v>
      </c>
      <c r="F23" s="30" t="n">
        <f aca="false">MAX(ABS($C$9),ABS($C$10))*0.12*1.06^(E23-1)</f>
        <v>808.992</v>
      </c>
      <c r="G23" s="31" t="n">
        <f aca="false">-F23*LN($C$11*EXP(-$C$9/F23)+(1-$C$11)*EXP(-$C$10/F23))</f>
        <v>-1753.88993443675</v>
      </c>
      <c r="H23" s="31" t="n">
        <f aca="false">ABS(G23-$C$12)</f>
        <v>3608.88993443675</v>
      </c>
    </row>
    <row r="24" customFormat="false" ht="15" hidden="false" customHeight="false" outlineLevel="0" collapsed="false">
      <c r="E24" s="29" t="n">
        <v>4</v>
      </c>
      <c r="F24" s="30" t="n">
        <f aca="false">MAX(ABS($C$9),ABS($C$10))*0.12*1.06^(E24-1)</f>
        <v>857.53152</v>
      </c>
      <c r="G24" s="31" t="n">
        <f aca="false">-F24*LN($C$11*EXP(-$C$9/F24)+(1-$C$11)*EXP(-$C$10/F24))</f>
        <v>-1679.16397302278</v>
      </c>
      <c r="H24" s="31" t="n">
        <f aca="false">ABS(G24-$C$12)</f>
        <v>3534.16397302278</v>
      </c>
    </row>
    <row r="25" customFormat="false" ht="15" hidden="false" customHeight="false" outlineLevel="0" collapsed="false">
      <c r="E25" s="29" t="n">
        <v>5</v>
      </c>
      <c r="F25" s="30" t="n">
        <f aca="false">MAX(ABS($C$9),ABS($C$10))*0.12*1.06^(E25-1)</f>
        <v>908.9834112</v>
      </c>
      <c r="G25" s="31" t="n">
        <f aca="false">-F25*LN($C$11*EXP(-$C$9/F25)+(1-$C$11)*EXP(-$C$10/F25))</f>
        <v>-1599.98861276156</v>
      </c>
      <c r="H25" s="31" t="n">
        <f aca="false">ABS(G25-$C$12)</f>
        <v>3454.98861276156</v>
      </c>
    </row>
    <row r="26" customFormat="false" ht="15" hidden="false" customHeight="false" outlineLevel="0" collapsed="false">
      <c r="E26" s="29" t="n">
        <v>6</v>
      </c>
      <c r="F26" s="30" t="n">
        <f aca="false">MAX(ABS($C$9),ABS($C$10))*0.12*1.06^(E26-1)</f>
        <v>963.522415872</v>
      </c>
      <c r="G26" s="31" t="n">
        <f aca="false">-F26*LN($C$11*EXP(-$C$9/F26)+(1-$C$11)*EXP(-$C$10/F26))</f>
        <v>-1516.12093285198</v>
      </c>
      <c r="H26" s="31" t="n">
        <f aca="false">ABS(G26-$C$12)</f>
        <v>3371.12093285198</v>
      </c>
    </row>
    <row r="27" customFormat="false" ht="15" hidden="false" customHeight="false" outlineLevel="0" collapsed="false">
      <c r="E27" s="29" t="n">
        <v>7</v>
      </c>
      <c r="F27" s="30" t="n">
        <f aca="false">MAX(ABS($C$9),ABS($C$10))*0.12*1.06^(E27-1)</f>
        <v>1021.33376082432</v>
      </c>
      <c r="G27" s="31" t="n">
        <f aca="false">-F27*LN($C$11*EXP(-$C$9/F27)+(1-$C$11)*EXP(-$C$10/F27))</f>
        <v>-1427.3171019266</v>
      </c>
      <c r="H27" s="31" t="n">
        <f aca="false">ABS(G27-$C$12)</f>
        <v>3282.3171019266</v>
      </c>
    </row>
    <row r="28" customFormat="false" ht="15" hidden="false" customHeight="false" outlineLevel="0" collapsed="false">
      <c r="E28" s="29" t="n">
        <v>8</v>
      </c>
      <c r="F28" s="30" t="n">
        <f aca="false">MAX(ABS($C$9),ABS($C$10))*0.12*1.06^(E28-1)</f>
        <v>1082.61378647378</v>
      </c>
      <c r="G28" s="31" t="n">
        <f aca="false">-F28*LN($C$11*EXP(-$C$9/F28)+(1-$C$11)*EXP(-$C$10/F28))</f>
        <v>-1333.33817170119</v>
      </c>
      <c r="H28" s="31" t="n">
        <f aca="false">ABS(G28-$C$12)</f>
        <v>3188.33817170119</v>
      </c>
    </row>
    <row r="29" customFormat="false" ht="15" hidden="false" customHeight="false" outlineLevel="0" collapsed="false">
      <c r="E29" s="29" t="n">
        <v>9</v>
      </c>
      <c r="F29" s="30" t="n">
        <f aca="false">MAX(ABS($C$9),ABS($C$10))*0.12*1.06^(E29-1)</f>
        <v>1147.57061366221</v>
      </c>
      <c r="G29" s="31" t="n">
        <f aca="false">-F29*LN($C$11*EXP(-$C$9/F29)+(1-$C$11)*EXP(-$C$10/F29))</f>
        <v>-1233.95778612399</v>
      </c>
      <c r="H29" s="31" t="n">
        <f aca="false">ABS(G29-$C$12)</f>
        <v>3088.95778612399</v>
      </c>
    </row>
    <row r="30" customFormat="false" ht="15" hidden="false" customHeight="false" outlineLevel="0" collapsed="false">
      <c r="E30" s="29" t="n">
        <v>10</v>
      </c>
      <c r="F30" s="30" t="n">
        <f aca="false">MAX(ABS($C$9),ABS($C$10))*0.12*1.06^(E30-1)</f>
        <v>1216.42485048194</v>
      </c>
      <c r="G30" s="31" t="n">
        <f aca="false">-F30*LN($C$11*EXP(-$C$9/F30)+(1-$C$11)*EXP(-$C$10/F30))</f>
        <v>-1128.97196117653</v>
      </c>
      <c r="H30" s="31" t="n">
        <f aca="false">ABS(G30-$C$12)</f>
        <v>2983.97196117653</v>
      </c>
    </row>
    <row r="31" customFormat="false" ht="15" hidden="false" customHeight="false" outlineLevel="0" collapsed="false">
      <c r="E31" s="29" t="n">
        <v>11</v>
      </c>
      <c r="F31" s="30" t="n">
        <f aca="false">MAX(ABS($C$9),ABS($C$10))*0.12*1.06^(E31-1)</f>
        <v>1289.41034151086</v>
      </c>
      <c r="G31" s="31" t="n">
        <f aca="false">-F31*LN($C$11*EXP(-$C$9/F31)+(1-$C$11)*EXP(-$C$10/F31))</f>
        <v>-1018.21094395988</v>
      </c>
      <c r="H31" s="31" t="n">
        <f aca="false">ABS(G31-$C$12)</f>
        <v>2873.21094395988</v>
      </c>
    </row>
    <row r="32" customFormat="false" ht="15" hidden="false" customHeight="false" outlineLevel="0" collapsed="false">
      <c r="E32" s="29" t="n">
        <v>12</v>
      </c>
      <c r="F32" s="30" t="n">
        <f aca="false">MAX(ABS($C$9),ABS($C$10))*0.12*1.06^(E32-1)</f>
        <v>1366.77496200151</v>
      </c>
      <c r="G32" s="31" t="n">
        <f aca="false">-F32*LN($C$11*EXP(-$C$9/F32)+(1-$C$11)*EXP(-$C$10/F32))</f>
        <v>-901.552959513788</v>
      </c>
      <c r="H32" s="31" t="n">
        <f aca="false">ABS(G32-$C$12)</f>
        <v>2756.55295951379</v>
      </c>
    </row>
    <row r="33" customFormat="false" ht="15" hidden="false" customHeight="false" outlineLevel="0" collapsed="false">
      <c r="E33" s="29" t="n">
        <v>13</v>
      </c>
      <c r="F33" s="30" t="n">
        <f aca="false">MAX(ABS($C$9),ABS($C$10))*0.12*1.06^(E33-1)</f>
        <v>1448.7814597216</v>
      </c>
      <c r="G33" s="31" t="n">
        <f aca="false">-F33*LN($C$11*EXP(-$C$9/F33)+(1-$C$11)*EXP(-$C$10/F33))</f>
        <v>-778.939406553977</v>
      </c>
      <c r="H33" s="31" t="n">
        <f aca="false">ABS(G33-$C$12)</f>
        <v>2633.93940655398</v>
      </c>
    </row>
    <row r="34" customFormat="false" ht="15" hidden="false" customHeight="false" outlineLevel="0" collapsed="false">
      <c r="E34" s="29" t="n">
        <v>14</v>
      </c>
      <c r="F34" s="30" t="n">
        <f aca="false">MAX(ABS($C$9),ABS($C$10))*0.12*1.06^(E34-1)</f>
        <v>1535.70834730489</v>
      </c>
      <c r="G34" s="31" t="n">
        <f aca="false">-F34*LN($C$11*EXP(-$C$9/F34)+(1-$C$11)*EXP(-$C$10/F34))</f>
        <v>-650.390784229636</v>
      </c>
      <c r="H34" s="31" t="n">
        <f aca="false">ABS(G34-$C$12)</f>
        <v>2505.39078422964</v>
      </c>
    </row>
    <row r="35" customFormat="false" ht="15" hidden="false" customHeight="false" outlineLevel="0" collapsed="false">
      <c r="E35" s="29" t="n">
        <v>15</v>
      </c>
      <c r="F35" s="30" t="n">
        <f aca="false">MAX(ABS($C$9),ABS($C$10))*0.12*1.06^(E35-1)</f>
        <v>1627.85084814319</v>
      </c>
      <c r="G35" s="31" t="n">
        <f aca="false">-F35*LN($C$11*EXP(-$C$9/F35)+(1-$C$11)*EXP(-$C$10/F35))</f>
        <v>-516.022346597906</v>
      </c>
      <c r="H35" s="31" t="n">
        <f aca="false">ABS(G35-$C$12)</f>
        <v>2371.02234659791</v>
      </c>
    </row>
    <row r="36" customFormat="false" ht="15" hidden="false" customHeight="false" outlineLevel="0" collapsed="false">
      <c r="E36" s="29" t="n">
        <v>16</v>
      </c>
      <c r="F36" s="30" t="n">
        <f aca="false">MAX(ABS($C$9),ABS($C$10))*0.12*1.06^(E36-1)</f>
        <v>1725.52189903178</v>
      </c>
      <c r="G36" s="31" t="n">
        <f aca="false">-F36*LN($C$11*EXP(-$C$9/F36)+(1-$C$11)*EXP(-$C$10/F36))</f>
        <v>-376.058226268966</v>
      </c>
      <c r="H36" s="31" t="n">
        <f aca="false">ABS(G36-$C$12)</f>
        <v>2231.05822626897</v>
      </c>
    </row>
    <row r="37" customFormat="false" ht="15" hidden="false" customHeight="false" outlineLevel="0" collapsed="false">
      <c r="E37" s="29" t="n">
        <v>17</v>
      </c>
      <c r="F37" s="30" t="n">
        <f aca="false">MAX(ABS($C$9),ABS($C$10))*0.12*1.06^(E37-1)</f>
        <v>1829.05321297368</v>
      </c>
      <c r="G37" s="31" t="n">
        <f aca="false">-F37*LN($C$11*EXP(-$C$9/F37)+(1-$C$11)*EXP(-$C$10/F37))</f>
        <v>-230.842589794682</v>
      </c>
      <c r="H37" s="31" t="n">
        <f aca="false">ABS(G37-$C$12)</f>
        <v>2085.84258979468</v>
      </c>
    </row>
    <row r="38" customFormat="false" ht="15" hidden="false" customHeight="false" outlineLevel="0" collapsed="false">
      <c r="E38" s="29" t="n">
        <v>18</v>
      </c>
      <c r="F38" s="30" t="n">
        <f aca="false">MAX(ABS($C$9),ABS($C$10))*0.12*1.06^(E38-1)</f>
        <v>1938.79640575211</v>
      </c>
      <c r="G38" s="31" t="n">
        <f aca="false">-F38*LN($C$11*EXP(-$C$9/F38)+(1-$C$11)*EXP(-$C$10/F38))</f>
        <v>-80.8463361938227</v>
      </c>
      <c r="H38" s="31" t="n">
        <f aca="false">ABS(G38-$C$12)</f>
        <v>1935.84633619382</v>
      </c>
    </row>
    <row r="39" customFormat="false" ht="15" hidden="false" customHeight="false" outlineLevel="0" collapsed="false">
      <c r="E39" s="29" t="n">
        <v>19</v>
      </c>
      <c r="F39" s="30" t="n">
        <f aca="false">MAX(ABS($C$9),ABS($C$10))*0.12*1.06^(E39-1)</f>
        <v>2055.12419009723</v>
      </c>
      <c r="G39" s="31" t="n">
        <f aca="false">-F39*LN($C$11*EXP(-$C$9/F39)+(1-$C$11)*EXP(-$C$10/F39))</f>
        <v>73.3320258545197</v>
      </c>
      <c r="H39" s="31" t="n">
        <f aca="false">ABS(G39-$C$12)</f>
        <v>1781.66797414548</v>
      </c>
    </row>
    <row r="40" customFormat="false" ht="15" hidden="false" customHeight="false" outlineLevel="0" collapsed="false">
      <c r="E40" s="29" t="n">
        <v>20</v>
      </c>
      <c r="F40" s="30" t="n">
        <f aca="false">MAX(ABS($C$9),ABS($C$10))*0.12*1.06^(E40-1)</f>
        <v>2178.43164150307</v>
      </c>
      <c r="G40" s="31" t="n">
        <f aca="false">-F40*LN($C$11*EXP(-$C$9/F40)+(1-$C$11)*EXP(-$C$10/F40))</f>
        <v>230.97235607237</v>
      </c>
      <c r="H40" s="31" t="n">
        <f aca="false">ABS(G40-$C$12)</f>
        <v>1624.02764392763</v>
      </c>
    </row>
    <row r="41" customFormat="false" ht="15" hidden="false" customHeight="false" outlineLevel="0" collapsed="false">
      <c r="E41" s="29" t="n">
        <v>21</v>
      </c>
      <c r="F41" s="30" t="n">
        <f aca="false">MAX(ABS($C$9),ABS($C$10))*0.12*1.06^(E41-1)</f>
        <v>2309.13753999325</v>
      </c>
      <c r="G41" s="31" t="n">
        <f aca="false">-F41*LN($C$11*EXP(-$C$9/F41)+(1-$C$11)*EXP(-$C$10/F41))</f>
        <v>391.246212703776</v>
      </c>
      <c r="H41" s="31" t="n">
        <f aca="false">ABS(G41-$C$12)</f>
        <v>1463.75378729622</v>
      </c>
    </row>
    <row r="42" customFormat="false" ht="15" hidden="false" customHeight="false" outlineLevel="0" collapsed="false">
      <c r="E42" s="29" t="n">
        <v>22</v>
      </c>
      <c r="F42" s="30" t="n">
        <f aca="false">MAX(ABS($C$9),ABS($C$10))*0.12*1.06^(E42-1)</f>
        <v>2447.68579239285</v>
      </c>
      <c r="G42" s="31" t="n">
        <f aca="false">-F42*LN($C$11*EXP(-$C$9/F42)+(1-$C$11)*EXP(-$C$10/F42))</f>
        <v>553.237329953409</v>
      </c>
      <c r="H42" s="31" t="n">
        <f aca="false">ABS(G42-$C$12)</f>
        <v>1301.76267004659</v>
      </c>
    </row>
    <row r="43" customFormat="false" ht="15" hidden="false" customHeight="false" outlineLevel="0" collapsed="false">
      <c r="E43" s="29" t="n">
        <v>23</v>
      </c>
      <c r="F43" s="30" t="n">
        <f aca="false">MAX(ABS($C$9),ABS($C$10))*0.12*1.06^(E43-1)</f>
        <v>2594.54693993642</v>
      </c>
      <c r="G43" s="31" t="n">
        <f aca="false">-F43*LN($C$11*EXP(-$C$9/F43)+(1-$C$11)*EXP(-$C$10/F43))</f>
        <v>715.968259145628</v>
      </c>
      <c r="H43" s="31" t="n">
        <f aca="false">ABS(G43-$C$12)</f>
        <v>1139.03174085437</v>
      </c>
    </row>
    <row r="44" customFormat="false" ht="15" hidden="false" customHeight="false" outlineLevel="0" collapsed="false">
      <c r="E44" s="29" t="n">
        <v>24</v>
      </c>
      <c r="F44" s="30" t="n">
        <f aca="false">MAX(ABS($C$9),ABS($C$10))*0.12*1.06^(E44-1)</f>
        <v>2750.2197563326</v>
      </c>
      <c r="G44" s="31" t="n">
        <f aca="false">-F44*LN($C$11*EXP(-$C$9/F44)+(1-$C$11)*EXP(-$C$10/F44))</f>
        <v>878.431455350885</v>
      </c>
      <c r="H44" s="31" t="n">
        <f aca="false">ABS(G44-$C$12)</f>
        <v>976.568544649115</v>
      </c>
    </row>
    <row r="45" customFormat="false" ht="15" hidden="false" customHeight="false" outlineLevel="0" collapsed="false">
      <c r="E45" s="29" t="n">
        <v>25</v>
      </c>
      <c r="F45" s="30" t="n">
        <f aca="false">MAX(ABS($C$9),ABS($C$10))*0.12*1.06^(E45-1)</f>
        <v>2915.23294171256</v>
      </c>
      <c r="G45" s="31" t="n">
        <f aca="false">-F45*LN($C$11*EXP(-$C$9/F45)+(1-$C$11)*EXP(-$C$10/F45))</f>
        <v>1039.62253241046</v>
      </c>
      <c r="H45" s="31" t="n">
        <f aca="false">ABS(G45-$C$12)</f>
        <v>815.37746758954</v>
      </c>
    </row>
    <row r="46" customFormat="false" ht="15" hidden="false" customHeight="false" outlineLevel="0" collapsed="false">
      <c r="E46" s="29" t="n">
        <v>26</v>
      </c>
      <c r="F46" s="30" t="n">
        <f aca="false">MAX(ABS($C$9),ABS($C$10))*0.12*1.06^(E46-1)</f>
        <v>3090.14691821531</v>
      </c>
      <c r="G46" s="31" t="n">
        <f aca="false">-F46*LN($C$11*EXP(-$C$9/F46)+(1-$C$11)*EXP(-$C$10/F46))</f>
        <v>1198.57313556276</v>
      </c>
      <c r="H46" s="31" t="n">
        <f aca="false">ABS(G46-$C$12)</f>
        <v>656.426864437244</v>
      </c>
    </row>
    <row r="47" customFormat="false" ht="15" hidden="false" customHeight="false" outlineLevel="0" collapsed="false">
      <c r="E47" s="29" t="n">
        <v>27</v>
      </c>
      <c r="F47" s="30" t="n">
        <f aca="false">MAX(ABS($C$9),ABS($C$10))*0.12*1.06^(E47-1)</f>
        <v>3275.55573330823</v>
      </c>
      <c r="G47" s="31" t="n">
        <f aca="false">-F47*LN($C$11*EXP(-$C$9/F47)+(1-$C$11)*EXP(-$C$10/F47))</f>
        <v>1354.38094861993</v>
      </c>
      <c r="H47" s="31" t="n">
        <f aca="false">ABS(G47-$C$12)</f>
        <v>500.619051380074</v>
      </c>
    </row>
    <row r="48" customFormat="false" ht="15" hidden="false" customHeight="false" outlineLevel="0" collapsed="false">
      <c r="E48" s="29" t="n">
        <v>28</v>
      </c>
      <c r="F48" s="30" t="n">
        <f aca="false">MAX(ABS($C$9),ABS($C$10))*0.12*1.06^(E48-1)</f>
        <v>3472.08907730672</v>
      </c>
      <c r="G48" s="31" t="n">
        <f aca="false">-F48*LN($C$11*EXP(-$C$9/F48)+(1-$C$11)*EXP(-$C$10/F48))</f>
        <v>1506.23474824723</v>
      </c>
      <c r="H48" s="31" t="n">
        <f aca="false">ABS(G48-$C$12)</f>
        <v>348.76525175277</v>
      </c>
    </row>
    <row r="49" customFormat="false" ht="15" hidden="false" customHeight="false" outlineLevel="0" collapsed="false">
      <c r="E49" s="29" t="n">
        <v>29</v>
      </c>
      <c r="F49" s="30" t="n">
        <f aca="false">MAX(ABS($C$9),ABS($C$10))*0.12*1.06^(E49-1)</f>
        <v>3680.41442194513</v>
      </c>
      <c r="G49" s="31" t="n">
        <f aca="false">-F49*LN($C$11*EXP(-$C$9/F49)+(1-$C$11)*EXP(-$C$10/F49))</f>
        <v>1653.43306094496</v>
      </c>
      <c r="H49" s="31" t="n">
        <f aca="false">ABS(G49-$C$12)</f>
        <v>201.566939055037</v>
      </c>
    </row>
    <row r="50" customFormat="false" ht="15" hidden="false" customHeight="false" outlineLevel="0" collapsed="false">
      <c r="E50" s="29" t="n">
        <v>30</v>
      </c>
      <c r="F50" s="30" t="n">
        <f aca="false">MAX(ABS($C$9),ABS($C$10))*0.12*1.06^(E50-1)</f>
        <v>3901.23928726184</v>
      </c>
      <c r="G50" s="31" t="n">
        <f aca="false">-F50*LN($C$11*EXP(-$C$9/F50)+(1-$C$11)*EXP(-$C$10/F50))</f>
        <v>1795.39574425611</v>
      </c>
      <c r="H50" s="31" t="n">
        <f aca="false">ABS(G50-$C$12)</f>
        <v>59.6042557438909</v>
      </c>
    </row>
    <row r="51" customFormat="false" ht="15" hidden="false" customHeight="false" outlineLevel="0" collapsed="false">
      <c r="E51" s="29" t="n">
        <v>31</v>
      </c>
      <c r="F51" s="30" t="n">
        <f aca="false">MAX(ABS($C$9),ABS($C$10))*0.12*1.06^(E51-1)</f>
        <v>4135.31364449755</v>
      </c>
      <c r="G51" s="31" t="n">
        <f aca="false">-F51*LN($C$11*EXP(-$C$9/F51)+(1-$C$11)*EXP(-$C$10/F51))</f>
        <v>1931.66856739438</v>
      </c>
      <c r="H51" s="31" t="n">
        <f aca="false">ABS(G51-$C$12)</f>
        <v>76.6685673943773</v>
      </c>
    </row>
    <row r="52" customFormat="false" ht="15" hidden="false" customHeight="false" outlineLevel="0" collapsed="false">
      <c r="E52" s="29" t="n">
        <v>32</v>
      </c>
      <c r="F52" s="30" t="n">
        <f aca="false">MAX(ABS($C$9),ABS($C$10))*0.12*1.06^(E52-1)</f>
        <v>4383.4324631674</v>
      </c>
      <c r="G52" s="31" t="n">
        <f aca="false">-F52*LN($C$11*EXP(-$C$9/F52)+(1-$C$11)*EXP(-$C$10/F52))</f>
        <v>2061.92149474535</v>
      </c>
      <c r="H52" s="31" t="n">
        <f aca="false">ABS(G52-$C$12)</f>
        <v>206.921494745347</v>
      </c>
    </row>
    <row r="53" customFormat="false" ht="15" hidden="false" customHeight="false" outlineLevel="0" collapsed="false">
      <c r="E53" s="29" t="n">
        <v>33</v>
      </c>
      <c r="F53" s="30" t="n">
        <f aca="false">MAX(ABS($C$9),ABS($C$10))*0.12*1.06^(E53-1)</f>
        <v>4646.43841095744</v>
      </c>
      <c r="G53" s="31" t="n">
        <f aca="false">-F53*LN($C$11*EXP(-$C$9/F53)+(1-$C$11)*EXP(-$C$10/F53))</f>
        <v>2185.94180873143</v>
      </c>
      <c r="H53" s="31" t="n">
        <f aca="false">ABS(G53-$C$12)</f>
        <v>330.941808731432</v>
      </c>
    </row>
    <row r="54" customFormat="false" ht="15" hidden="false" customHeight="false" outlineLevel="0" collapsed="false">
      <c r="E54" s="29" t="n">
        <v>34</v>
      </c>
      <c r="F54" s="30" t="n">
        <f aca="false">MAX(ABS($C$9),ABS($C$10))*0.12*1.06^(E54-1)</f>
        <v>4925.22471561489</v>
      </c>
      <c r="G54" s="31" t="n">
        <f aca="false">-F54*LN($C$11*EXP(-$C$9/F54)+(1-$C$11)*EXP(-$C$10/F54))</f>
        <v>2303.62342581006</v>
      </c>
      <c r="H54" s="31" t="n">
        <f aca="false">ABS(G54-$C$12)</f>
        <v>448.623425810059</v>
      </c>
    </row>
    <row r="55" customFormat="false" ht="15" hidden="false" customHeight="false" outlineLevel="0" collapsed="false">
      <c r="E55" s="29" t="n">
        <v>35</v>
      </c>
      <c r="F55" s="30" t="n">
        <f aca="false">MAX(ABS($C$9),ABS($C$10))*0.12*1.06^(E55-1)</f>
        <v>5220.73819855178</v>
      </c>
      <c r="G55" s="31" t="n">
        <f aca="false">-F55*LN($C$11*EXP(-$C$9/F55)+(1-$C$11)*EXP(-$C$10/F55))</f>
        <v>2414.95378194737</v>
      </c>
      <c r="H55" s="31" t="n">
        <f aca="false">ABS(G55-$C$12)</f>
        <v>559.953781947366</v>
      </c>
    </row>
    <row r="56" customFormat="false" ht="15" hidden="false" customHeight="false" outlineLevel="0" collapsed="false">
      <c r="E56" s="29" t="n">
        <v>36</v>
      </c>
      <c r="F56" s="30" t="n">
        <f aca="false">MAX(ABS($C$9),ABS($C$10))*0.12*1.06^(E56-1)</f>
        <v>5533.98249046489</v>
      </c>
      <c r="G56" s="31" t="n">
        <f aca="false">-F56*LN($C$11*EXP(-$C$9/F56)+(1-$C$11)*EXP(-$C$10/F56))</f>
        <v>2519.99953897563</v>
      </c>
      <c r="H56" s="31" t="n">
        <f aca="false">ABS(G56-$C$12)</f>
        <v>664.999538975631</v>
      </c>
    </row>
    <row r="57" customFormat="false" ht="15" hidden="false" customHeight="false" outlineLevel="0" collapsed="false">
      <c r="E57" s="29" t="n">
        <v>37</v>
      </c>
      <c r="F57" s="30" t="n">
        <f aca="false">MAX(ABS($C$9),ABS($C$10))*0.12*1.06^(E57-1)</f>
        <v>5866.02143989279</v>
      </c>
      <c r="G57" s="31" t="n">
        <f aca="false">-F57*LN($C$11*EXP(-$C$9/F57)+(1-$C$11)*EXP(-$C$10/F57))</f>
        <v>2618.89214741623</v>
      </c>
      <c r="H57" s="31" t="n">
        <f aca="false">ABS(G57-$C$12)</f>
        <v>763.892147416226</v>
      </c>
    </row>
    <row r="58" customFormat="false" ht="15" hidden="false" customHeight="false" outlineLevel="0" collapsed="false">
      <c r="E58" s="29" t="n">
        <v>38</v>
      </c>
      <c r="F58" s="30" t="n">
        <f aca="false">MAX(ABS($C$9),ABS($C$10))*0.12*1.06^(E58-1)</f>
        <v>6217.98272628635</v>
      </c>
      <c r="G58" s="31" t="n">
        <f aca="false">-F58*LN($C$11*EXP(-$C$9/F58)+(1-$C$11)*EXP(-$C$10/F58))</f>
        <v>2711.81404736129</v>
      </c>
      <c r="H58" s="31" t="n">
        <f aca="false">ABS(G58-$C$12)</f>
        <v>856.814047361285</v>
      </c>
    </row>
    <row r="59" customFormat="false" ht="15" hidden="false" customHeight="false" outlineLevel="0" collapsed="false">
      <c r="E59" s="29" t="n">
        <v>39</v>
      </c>
      <c r="F59" s="30" t="n">
        <f aca="false">MAX(ABS($C$9),ABS($C$10))*0.12*1.06^(E59-1)</f>
        <v>6591.06168986353</v>
      </c>
      <c r="G59" s="31" t="n">
        <f aca="false">-F59*LN($C$11*EXP(-$C$9/F59)+(1-$C$11)*EXP(-$C$10/F59))</f>
        <v>2798.98603786214</v>
      </c>
      <c r="H59" s="31" t="n">
        <f aca="false">ABS(G59-$C$12)</f>
        <v>943.986037862141</v>
      </c>
    </row>
    <row r="60" customFormat="false" ht="15" hidden="false" customHeight="false" outlineLevel="0" collapsed="false">
      <c r="E60" s="29" t="n">
        <v>40</v>
      </c>
      <c r="F60" s="30" t="n">
        <f aca="false">MAX(ABS($C$9),ABS($C$10))*0.12*1.06^(E60-1)</f>
        <v>6986.52539125535</v>
      </c>
      <c r="G60" s="31" t="n">
        <f aca="false">-F60*LN($C$11*EXP(-$C$9/F60)+(1-$C$11)*EXP(-$C$10/F60))</f>
        <v>2880.65612363024</v>
      </c>
      <c r="H60" s="31" t="n">
        <f aca="false">ABS(G60-$C$12)</f>
        <v>1025.65612363024</v>
      </c>
    </row>
    <row r="61" customFormat="false" ht="15" hidden="false" customHeight="false" outlineLevel="0" collapsed="false">
      <c r="E61" s="29" t="n">
        <v>41</v>
      </c>
      <c r="F61" s="30" t="n">
        <f aca="false">MAX(ABS($C$9),ABS($C$10))*0.12*1.06^(E61-1)</f>
        <v>7405.71691473067</v>
      </c>
      <c r="G61" s="31" t="n">
        <f aca="false">-F61*LN($C$11*EXP(-$C$9/F61)+(1-$C$11)*EXP(-$C$10/F61))</f>
        <v>2957.08996913435</v>
      </c>
      <c r="H61" s="31" t="n">
        <f aca="false">ABS(G61-$C$12)</f>
        <v>1102.08996913435</v>
      </c>
    </row>
    <row r="62" customFormat="false" ht="15" hidden="false" customHeight="false" outlineLevel="0" collapsed="false">
      <c r="E62" s="29" t="n">
        <v>42</v>
      </c>
      <c r="F62" s="30" t="n">
        <f aca="false">MAX(ABS($C$9),ABS($C$10))*0.12*1.06^(E62-1)</f>
        <v>7850.05992961451</v>
      </c>
      <c r="G62" s="31" t="n">
        <f aca="false">-F62*LN($C$11*EXP(-$C$9/F62)+(1-$C$11)*EXP(-$C$10/F62))</f>
        <v>3028.56295759966</v>
      </c>
      <c r="H62" s="31" t="n">
        <f aca="false">ABS(G62-$C$12)</f>
        <v>1173.56295759966</v>
      </c>
    </row>
    <row r="63" customFormat="false" ht="15" hidden="false" customHeight="false" outlineLevel="0" collapsed="false">
      <c r="E63" s="29" t="n">
        <v>43</v>
      </c>
      <c r="F63" s="30" t="n">
        <f aca="false">MAX(ABS($C$9),ABS($C$10))*0.12*1.06^(E63-1)</f>
        <v>8321.06352539138</v>
      </c>
      <c r="G63" s="31" t="n">
        <f aca="false">-F63*LN($C$11*EXP(-$C$9/F63)+(1-$C$11)*EXP(-$C$10/F63))</f>
        <v>3095.35376255405</v>
      </c>
      <c r="H63" s="31" t="n">
        <f aca="false">ABS(G63-$C$12)</f>
        <v>1240.35376255405</v>
      </c>
    </row>
    <row r="64" customFormat="false" ht="15" hidden="false" customHeight="false" outlineLevel="0" collapsed="false">
      <c r="E64" s="29" t="n">
        <v>44</v>
      </c>
      <c r="F64" s="30" t="n">
        <f aca="false">MAX(ABS($C$9),ABS($C$10))*0.12*1.06^(E64-1)</f>
        <v>8820.32733691486</v>
      </c>
      <c r="G64" s="31" t="n">
        <f aca="false">-F64*LN($C$11*EXP(-$C$9/F64)+(1-$C$11)*EXP(-$C$10/F64))</f>
        <v>3157.73928548543</v>
      </c>
      <c r="H64" s="31" t="n">
        <f aca="false">ABS(G64-$C$12)</f>
        <v>1302.73928548543</v>
      </c>
    </row>
    <row r="65" customFormat="false" ht="15" hidden="false" customHeight="false" outlineLevel="0" collapsed="false">
      <c r="E65" s="29" t="n">
        <v>45</v>
      </c>
      <c r="F65" s="30" t="n">
        <f aca="false">MAX(ABS($C$9),ABS($C$10))*0.12*1.06^(E65-1)</f>
        <v>9349.54697712975</v>
      </c>
      <c r="G65" s="31" t="n">
        <f aca="false">-F65*LN($C$11*EXP(-$C$9/F65)+(1-$C$11)*EXP(-$C$10/F65))</f>
        <v>3215.99078675865</v>
      </c>
      <c r="H65" s="31" t="n">
        <f aca="false">ABS(G65-$C$12)</f>
        <v>1360.99078675865</v>
      </c>
    </row>
    <row r="66" customFormat="false" ht="15" hidden="false" customHeight="false" outlineLevel="0" collapsed="false">
      <c r="E66" s="29" t="n">
        <v>46</v>
      </c>
      <c r="F66" s="30" t="n">
        <f aca="false">MAX(ABS($C$9),ABS($C$10))*0.12*1.06^(E66-1)</f>
        <v>9910.51979575754</v>
      </c>
      <c r="G66" s="31" t="n">
        <f aca="false">-F66*LN($C$11*EXP(-$C$9/F66)+(1-$C$11)*EXP(-$C$10/F66))</f>
        <v>3270.37103039605</v>
      </c>
      <c r="H66" s="31" t="n">
        <f aca="false">ABS(G66-$C$12)</f>
        <v>1415.37103039605</v>
      </c>
    </row>
    <row r="67" customFormat="false" ht="15" hidden="false" customHeight="false" outlineLevel="0" collapsed="false">
      <c r="E67" s="29" t="n">
        <v>47</v>
      </c>
      <c r="F67" s="30" t="n">
        <f aca="false">MAX(ABS($C$9),ABS($C$10))*0.12*1.06^(E67-1)</f>
        <v>10505.150983503</v>
      </c>
      <c r="G67" s="31" t="n">
        <f aca="false">-F67*LN($C$11*EXP(-$C$9/F67)+(1-$C$11)*EXP(-$C$10/F67))</f>
        <v>3321.13226996571</v>
      </c>
      <c r="H67" s="31" t="n">
        <f aca="false">ABS(G67-$C$12)</f>
        <v>1466.13226996571</v>
      </c>
    </row>
    <row r="68" customFormat="false" ht="15" hidden="false" customHeight="false" outlineLevel="0" collapsed="false">
      <c r="E68" s="29" t="n">
        <v>48</v>
      </c>
      <c r="F68" s="30" t="n">
        <f aca="false">MAX(ABS($C$9),ABS($C$10))*0.12*1.06^(E68-1)</f>
        <v>11135.4600425132</v>
      </c>
      <c r="G68" s="31" t="n">
        <f aca="false">-F68*LN($C$11*EXP(-$C$9/F68)+(1-$C$11)*EXP(-$C$10/F68))</f>
        <v>3368.51491736001</v>
      </c>
      <c r="H68" s="31" t="n">
        <f aca="false">ABS(G68-$C$12)</f>
        <v>1513.51491736001</v>
      </c>
    </row>
    <row r="69" customFormat="false" ht="15" hidden="false" customHeight="false" outlineLevel="0" collapsed="false">
      <c r="E69" s="29" t="n">
        <v>49</v>
      </c>
      <c r="F69" s="30" t="n">
        <f aca="false">MAX(ABS($C$9),ABS($C$10))*0.12*1.06^(E69-1)</f>
        <v>11803.587645064</v>
      </c>
      <c r="G69" s="31" t="n">
        <f aca="false">-F69*LN($C$11*EXP(-$C$9/F69)+(1-$C$11)*EXP(-$C$10/F69))</f>
        <v>3412.74675477567</v>
      </c>
      <c r="H69" s="31" t="n">
        <f aca="false">ABS(G69-$C$12)</f>
        <v>1557.74675477567</v>
      </c>
    </row>
    <row r="70" customFormat="false" ht="15" hidden="false" customHeight="false" outlineLevel="0" collapsed="false">
      <c r="E70" s="29" t="n">
        <v>50</v>
      </c>
      <c r="F70" s="30" t="n">
        <f aca="false">MAX(ABS($C$9),ABS($C$10))*0.12*1.06^(E70-1)</f>
        <v>12511.8029037678</v>
      </c>
      <c r="G70" s="31" t="n">
        <f aca="false">-F70*LN($C$11*EXP(-$C$9/F70)+(1-$C$11)*EXP(-$C$10/F70))</f>
        <v>3454.04257001743</v>
      </c>
      <c r="H70" s="31" t="n">
        <f aca="false">ABS(G70-$C$12)</f>
        <v>1599.04257001743</v>
      </c>
    </row>
    <row r="71" customFormat="false" ht="15" hidden="false" customHeight="false" outlineLevel="0" collapsed="false">
      <c r="E71" s="29" t="n">
        <v>51</v>
      </c>
      <c r="F71" s="30" t="n">
        <f aca="false">MAX(ABS($C$9),ABS($C$10))*0.12*1.06^(E71-1)</f>
        <v>13262.5110779939</v>
      </c>
      <c r="G71" s="31" t="n">
        <f aca="false">-F71*LN($C$11*EXP(-$C$9/F71)+(1-$C$11)*EXP(-$C$10/F71))</f>
        <v>3492.6041145933</v>
      </c>
      <c r="H71" s="31" t="n">
        <f aca="false">ABS(G71-$C$12)</f>
        <v>1637.6041145933</v>
      </c>
    </row>
    <row r="72" customFormat="false" ht="15" hidden="false" customHeight="false" outlineLevel="0" collapsed="false">
      <c r="E72" s="29" t="n">
        <v>52</v>
      </c>
      <c r="F72" s="30" t="n">
        <f aca="false">MAX(ABS($C$9),ABS($C$10))*0.12*1.06^(E72-1)</f>
        <v>14058.2617426735</v>
      </c>
      <c r="G72" s="31" t="n">
        <f aca="false">-F72*LN($C$11*EXP(-$C$9/F72)+(1-$C$11)*EXP(-$C$10/F72))</f>
        <v>3528.62030192112</v>
      </c>
      <c r="H72" s="31" t="n">
        <f aca="false">ABS(G72-$C$12)</f>
        <v>1673.62030192112</v>
      </c>
    </row>
    <row r="73" customFormat="false" ht="15" hidden="false" customHeight="false" outlineLevel="0" collapsed="false">
      <c r="E73" s="29" t="n">
        <v>53</v>
      </c>
      <c r="F73" s="30" t="n">
        <f aca="false">MAX(ABS($C$9),ABS($C$10))*0.12*1.06^(E73-1)</f>
        <v>14901.7574472339</v>
      </c>
      <c r="G73" s="31" t="n">
        <f aca="false">-F73*LN($C$11*EXP(-$C$9/F73)+(1-$C$11)*EXP(-$C$10/F73))</f>
        <v>3562.26757880623</v>
      </c>
      <c r="H73" s="31" t="n">
        <f aca="false">ABS(G73-$C$12)</f>
        <v>1707.26757880623</v>
      </c>
    </row>
    <row r="74" customFormat="false" ht="15" hidden="false" customHeight="false" outlineLevel="0" collapsed="false">
      <c r="E74" s="29" t="n">
        <v>54</v>
      </c>
      <c r="F74" s="30" t="n">
        <f aca="false">MAX(ABS($C$9),ABS($C$10))*0.12*1.06^(E74-1)</f>
        <v>15795.862894068</v>
      </c>
      <c r="G74" s="31" t="n">
        <f aca="false">-F74*LN($C$11*EXP(-$C$9/F74)+(1-$C$11)*EXP(-$C$10/F74))</f>
        <v>3593.7104170029</v>
      </c>
      <c r="H74" s="31" t="n">
        <f aca="false">ABS(G74-$C$12)</f>
        <v>1738.7104170029</v>
      </c>
    </row>
    <row r="75" customFormat="false" ht="15" hidden="false" customHeight="false" outlineLevel="0" collapsed="false">
      <c r="E75" s="29" t="n">
        <v>55</v>
      </c>
      <c r="F75" s="30" t="n">
        <f aca="false">MAX(ABS($C$9),ABS($C$10))*0.12*1.06^(E75-1)</f>
        <v>16743.614667712</v>
      </c>
      <c r="G75" s="31" t="n">
        <f aca="false">-F75*LN($C$11*EXP(-$C$9/F75)+(1-$C$11)*EXP(-$C$10/F75))</f>
        <v>3623.1018831752</v>
      </c>
      <c r="H75" s="31" t="n">
        <f aca="false">ABS(G75-$C$12)</f>
        <v>1768.1018831752</v>
      </c>
    </row>
    <row r="76" customFormat="false" ht="15" hidden="false" customHeight="false" outlineLevel="0" collapsed="false">
      <c r="E76" s="29" t="n">
        <v>56</v>
      </c>
      <c r="F76" s="30" t="n">
        <f aca="false">MAX(ABS($C$9),ABS($C$10))*0.12*1.06^(E76-1)</f>
        <v>17748.2315477748</v>
      </c>
      <c r="G76" s="31" t="n">
        <f aca="false">-F76*LN($C$11*EXP(-$C$9/F76)+(1-$C$11)*EXP(-$C$10/F76))</f>
        <v>3650.58425508854</v>
      </c>
      <c r="H76" s="31" t="n">
        <f aca="false">ABS(G76-$C$12)</f>
        <v>1795.58425508854</v>
      </c>
    </row>
    <row r="77" customFormat="false" ht="15" hidden="false" customHeight="false" outlineLevel="0" collapsed="false">
      <c r="E77" s="29" t="n">
        <v>57</v>
      </c>
      <c r="F77" s="30" t="n">
        <f aca="false">MAX(ABS($C$9),ABS($C$10))*0.12*1.06^(E77-1)</f>
        <v>18813.1254406412</v>
      </c>
      <c r="G77" s="31" t="n">
        <f aca="false">-F77*LN($C$11*EXP(-$C$9/F77)+(1-$C$11)*EXP(-$C$10/F77))</f>
        <v>3676.28965961362</v>
      </c>
      <c r="H77" s="31" t="n">
        <f aca="false">ABS(G77-$C$12)</f>
        <v>1821.28965961362</v>
      </c>
    </row>
    <row r="78" customFormat="false" ht="15" hidden="false" customHeight="false" outlineLevel="0" collapsed="false">
      <c r="E78" s="29" t="n">
        <v>58</v>
      </c>
      <c r="F78" s="30" t="n">
        <f aca="false">MAX(ABS($C$9),ABS($C$10))*0.12*1.06^(E78-1)</f>
        <v>19941.9129670797</v>
      </c>
      <c r="G78" s="31" t="n">
        <f aca="false">-F78*LN($C$11*EXP(-$C$9/F78)+(1-$C$11)*EXP(-$C$10/F78))</f>
        <v>3700.34071435198</v>
      </c>
      <c r="H78" s="31" t="n">
        <f aca="false">ABS(G78-$C$12)</f>
        <v>1845.34071435198</v>
      </c>
    </row>
    <row r="79" customFormat="false" ht="15" hidden="false" customHeight="false" outlineLevel="0" collapsed="false">
      <c r="E79" s="29" t="n">
        <v>59</v>
      </c>
      <c r="F79" s="30" t="n">
        <f aca="false">MAX(ABS($C$9),ABS($C$10))*0.12*1.06^(E79-1)</f>
        <v>21138.4277451045</v>
      </c>
      <c r="G79" s="31" t="n">
        <f aca="false">-F79*LN($C$11*EXP(-$C$9/F79)+(1-$C$11)*EXP(-$C$10/F79))</f>
        <v>3722.85115963505</v>
      </c>
      <c r="H79" s="31" t="n">
        <f aca="false">ABS(G79-$C$12)</f>
        <v>1867.85115963505</v>
      </c>
    </row>
    <row r="80" customFormat="false" ht="15" hidden="false" customHeight="false" outlineLevel="0" collapsed="false">
      <c r="E80" s="29" t="n">
        <v>60</v>
      </c>
      <c r="F80" s="30" t="n">
        <f aca="false">MAX(ABS($C$9),ABS($C$10))*0.12*1.06^(E80-1)</f>
        <v>22406.7334098108</v>
      </c>
      <c r="G80" s="31" t="n">
        <f aca="false">-F80*LN($C$11*EXP(-$C$9/F80)+(1-$C$11)*EXP(-$C$10/F80))</f>
        <v>3743.92647152696</v>
      </c>
      <c r="H80" s="31" t="n">
        <f aca="false">ABS(G80-$C$12)</f>
        <v>1888.92647152696</v>
      </c>
    </row>
    <row r="81" customFormat="false" ht="15" hidden="false" customHeight="false" outlineLevel="0" collapsed="false">
      <c r="E81" s="29" t="n">
        <v>61</v>
      </c>
      <c r="F81" s="30" t="n">
        <f aca="false">MAX(ABS($C$9),ABS($C$10))*0.12*1.06^(E81-1)</f>
        <v>23751.1374143994</v>
      </c>
      <c r="G81" s="31" t="n">
        <f aca="false">-F81*LN($C$11*EXP(-$C$9/F81)+(1-$C$11)*EXP(-$C$10/F81))</f>
        <v>3763.66444946871</v>
      </c>
      <c r="H81" s="31" t="n">
        <f aca="false">ABS(G81-$C$12)</f>
        <v>1908.66444946871</v>
      </c>
    </row>
    <row r="82" customFormat="false" ht="15" hidden="false" customHeight="false" outlineLevel="0" collapsed="false">
      <c r="E82" s="29" t="n">
        <v>62</v>
      </c>
      <c r="F82" s="30" t="n">
        <f aca="false">MAX(ABS($C$9),ABS($C$10))*0.12*1.06^(E82-1)</f>
        <v>25176.2056592634</v>
      </c>
      <c r="G82" s="31" t="n">
        <f aca="false">-F82*LN($C$11*EXP(-$C$9/F82)+(1-$C$11)*EXP(-$C$10/F82))</f>
        <v>3782.15577450647</v>
      </c>
      <c r="H82" s="31" t="n">
        <f aca="false">ABS(G82-$C$12)</f>
        <v>1927.15577450647</v>
      </c>
    </row>
    <row r="83" customFormat="false" ht="15" hidden="false" customHeight="false" outlineLevel="0" collapsed="false">
      <c r="E83" s="29" t="n">
        <v>63</v>
      </c>
      <c r="F83" s="30" t="n">
        <f aca="false">MAX(ABS($C$9),ABS($C$10))*0.12*1.06^(E83-1)</f>
        <v>26686.7779988192</v>
      </c>
      <c r="G83" s="31" t="n">
        <f aca="false">-F83*LN($C$11*EXP(-$C$9/F83)+(1-$C$11)*EXP(-$C$10/F83))</f>
        <v>3799.48453579073</v>
      </c>
      <c r="H83" s="31" t="n">
        <f aca="false">ABS(G83-$C$12)</f>
        <v>1944.48453579073</v>
      </c>
    </row>
    <row r="84" customFormat="false" ht="15" hidden="false" customHeight="false" outlineLevel="0" collapsed="false">
      <c r="E84" s="29" t="n">
        <v>64</v>
      </c>
      <c r="F84" s="30" t="n">
        <f aca="false">MAX(ABS($C$9),ABS($C$10))*0.12*1.06^(E84-1)</f>
        <v>28287.9846787483</v>
      </c>
      <c r="G84" s="31" t="n">
        <f aca="false">-F84*LN($C$11*EXP(-$C$9/F84)+(1-$C$11)*EXP(-$C$10/F84))</f>
        <v>3815.72872433246</v>
      </c>
      <c r="H84" s="31" t="n">
        <f aca="false">ABS(G84-$C$12)</f>
        <v>1960.72872433246</v>
      </c>
    </row>
    <row r="85" customFormat="false" ht="15" hidden="false" customHeight="false" outlineLevel="0" collapsed="false">
      <c r="E85" s="29" t="n">
        <v>65</v>
      </c>
      <c r="F85" s="30" t="n">
        <f aca="false">MAX(ABS($C$9),ABS($C$10))*0.12*1.06^(E85-1)</f>
        <v>29985.2637594732</v>
      </c>
      <c r="G85" s="31" t="n">
        <f aca="false">-F85*LN($C$11*EXP(-$C$9/F85)+(1-$C$11)*EXP(-$C$10/F85))</f>
        <v>3830.96069395416</v>
      </c>
      <c r="H85" s="31" t="n">
        <f aca="false">ABS(G85-$C$12)</f>
        <v>1975.96069395416</v>
      </c>
    </row>
    <row r="86" customFormat="false" ht="15" hidden="false" customHeight="false" outlineLevel="0" collapsed="false">
      <c r="E86" s="29" t="n">
        <v>66</v>
      </c>
      <c r="F86" s="30" t="n">
        <f aca="false">MAX(ABS($C$9),ABS($C$10))*0.12*1.06^(E86-1)</f>
        <v>31784.3795850416</v>
      </c>
      <c r="G86" s="31" t="n">
        <f aca="false">-F86*LN($C$11*EXP(-$C$9/F86)+(1-$C$11)*EXP(-$C$10/F86))</f>
        <v>3845.24759005457</v>
      </c>
      <c r="H86" s="31" t="n">
        <f aca="false">ABS(G86-$C$12)</f>
        <v>1990.24759005457</v>
      </c>
    </row>
    <row r="87" customFormat="false" ht="15" hidden="false" customHeight="false" outlineLevel="0" collapsed="false">
      <c r="E87" s="29" t="n">
        <v>67</v>
      </c>
      <c r="F87" s="30" t="n">
        <f aca="false">MAX(ABS($C$9),ABS($C$10))*0.12*1.06^(E87-1)</f>
        <v>33691.4423601441</v>
      </c>
      <c r="G87" s="31" t="n">
        <f aca="false">-F87*LN($C$11*EXP(-$C$9/F87)+(1-$C$11)*EXP(-$C$10/F87))</f>
        <v>3858.65174727766</v>
      </c>
      <c r="H87" s="31" t="n">
        <f aca="false">ABS(G87-$C$12)</f>
        <v>2003.65174727766</v>
      </c>
    </row>
    <row r="88" customFormat="false" ht="15" hidden="false" customHeight="false" outlineLevel="0" collapsed="false">
      <c r="E88" s="29" t="n">
        <v>68</v>
      </c>
      <c r="F88" s="30" t="n">
        <f aca="false">MAX(ABS($C$9),ABS($C$10))*0.12*1.06^(E88-1)</f>
        <v>35712.9289017528</v>
      </c>
      <c r="G88" s="31" t="n">
        <f aca="false">-F88*LN($C$11*EXP(-$C$9/F88)+(1-$C$11)*EXP(-$C$10/F88))</f>
        <v>3871.23105749024</v>
      </c>
      <c r="H88" s="31" t="n">
        <f aca="false">ABS(G88-$C$12)</f>
        <v>2016.23105749024</v>
      </c>
    </row>
    <row r="89" customFormat="false" ht="15" hidden="false" customHeight="false" outlineLevel="0" collapsed="false">
      <c r="E89" s="29" t="n">
        <v>69</v>
      </c>
      <c r="F89" s="30" t="n">
        <f aca="false">MAX(ABS($C$9),ABS($C$10))*0.12*1.06^(E89-1)</f>
        <v>37855.704635858</v>
      </c>
      <c r="G89" s="31" t="n">
        <f aca="false">-F89*LN($C$11*EXP(-$C$9/F89)+(1-$C$11)*EXP(-$C$10/F89))</f>
        <v>3883.03930966493</v>
      </c>
      <c r="H89" s="31" t="n">
        <f aca="false">ABS(G89-$C$12)</f>
        <v>2028.03930966493</v>
      </c>
    </row>
    <row r="90" customFormat="false" ht="15" hidden="false" customHeight="false" outlineLevel="0" collapsed="false">
      <c r="E90" s="29" t="n">
        <v>70</v>
      </c>
      <c r="F90" s="30" t="n">
        <f aca="false">MAX(ABS($C$9),ABS($C$10))*0.12*1.06^(E90-1)</f>
        <v>40127.0469140094</v>
      </c>
      <c r="G90" s="31" t="n">
        <f aca="false">-F90*LN($C$11*EXP(-$C$9/F90)+(1-$C$11)*EXP(-$C$10/F90))</f>
        <v>3894.1265033689</v>
      </c>
      <c r="H90" s="31" t="n">
        <f aca="false">ABS(G90-$C$12)</f>
        <v>2039.1265033689</v>
      </c>
    </row>
    <row r="91" customFormat="false" ht="15" hidden="false" customHeight="false" outlineLevel="0" collapsed="false">
      <c r="E91" s="29" t="n">
        <v>71</v>
      </c>
      <c r="F91" s="30" t="n">
        <f aca="false">MAX(ABS($C$9),ABS($C$10))*0.12*1.06^(E91-1)</f>
        <v>42534.66972885</v>
      </c>
      <c r="G91" s="31" t="n">
        <f aca="false">-F91*LN($C$11*EXP(-$C$9/F91)+(1-$C$11)*EXP(-$C$10/F91))</f>
        <v>3904.53913759604</v>
      </c>
      <c r="H91" s="31" t="n">
        <f aca="false">ABS(G91-$C$12)</f>
        <v>2049.53913759604</v>
      </c>
    </row>
    <row r="92" customFormat="false" ht="15" hidden="false" customHeight="false" outlineLevel="0" collapsed="false">
      <c r="E92" s="29" t="n">
        <v>72</v>
      </c>
      <c r="F92" s="30" t="n">
        <f aca="false">MAX(ABS($C$9),ABS($C$10))*0.12*1.06^(E92-1)</f>
        <v>45086.749912581</v>
      </c>
      <c r="G92" s="31" t="n">
        <f aca="false">-F92*LN($C$11*EXP(-$C$9/F92)+(1-$C$11)*EXP(-$C$10/F92))</f>
        <v>3914.32047667011</v>
      </c>
      <c r="H92" s="31" t="n">
        <f aca="false">ABS(G92-$C$12)</f>
        <v>2059.32047667011</v>
      </c>
    </row>
    <row r="93" customFormat="false" ht="15" hidden="false" customHeight="false" outlineLevel="0" collapsed="false">
      <c r="E93" s="29" t="n">
        <v>73</v>
      </c>
      <c r="F93" s="30" t="n">
        <f aca="false">MAX(ABS($C$9),ABS($C$10))*0.12*1.06^(E93-1)</f>
        <v>47791.9549073359</v>
      </c>
      <c r="G93" s="31" t="n">
        <f aca="false">-F93*LN($C$11*EXP(-$C$9/F93)+(1-$C$11)*EXP(-$C$10/F93))</f>
        <v>3923.51079490295</v>
      </c>
      <c r="H93" s="31" t="n">
        <f aca="false">ABS(G93-$C$12)</f>
        <v>2068.51079490295</v>
      </c>
    </row>
    <row r="94" customFormat="false" ht="15" hidden="false" customHeight="false" outlineLevel="0" collapsed="false">
      <c r="E94" s="29" t="n">
        <v>74</v>
      </c>
      <c r="F94" s="30" t="n">
        <f aca="false">MAX(ABS($C$9),ABS($C$10))*0.12*1.06^(E94-1)</f>
        <v>50659.472201776</v>
      </c>
      <c r="G94" s="31" t="n">
        <f aca="false">-F94*LN($C$11*EXP(-$C$9/F94)+(1-$C$11)*EXP(-$C$10/F94))</f>
        <v>3932.14760162558</v>
      </c>
      <c r="H94" s="31" t="n">
        <f aca="false">ABS(G94-$C$12)</f>
        <v>2077.14760162558</v>
      </c>
    </row>
    <row r="95" customFormat="false" ht="15" hidden="false" customHeight="false" outlineLevel="0" collapsed="false">
      <c r="E95" s="29" t="n">
        <v>75</v>
      </c>
      <c r="F95" s="30" t="n">
        <f aca="false">MAX(ABS($C$9),ABS($C$10))*0.12*1.06^(E95-1)</f>
        <v>53699.0405338826</v>
      </c>
      <c r="G95" s="31" t="n">
        <f aca="false">-F95*LN($C$11*EXP(-$C$9/F95)+(1-$C$11)*EXP(-$C$10/F95))</f>
        <v>3940.26584812889</v>
      </c>
      <c r="H95" s="31" t="n">
        <f aca="false">ABS(G95-$C$12)</f>
        <v>2085.26584812889</v>
      </c>
    </row>
    <row r="96" customFormat="false" ht="15" hidden="false" customHeight="false" outlineLevel="0" collapsed="false">
      <c r="E96" s="29" t="n">
        <v>76</v>
      </c>
      <c r="F96" s="30" t="n">
        <f aca="false">MAX(ABS($C$9),ABS($C$10))*0.12*1.06^(E96-1)</f>
        <v>56920.9829659155</v>
      </c>
      <c r="G96" s="31" t="n">
        <f aca="false">-F96*LN($C$11*EXP(-$C$9/F96)+(1-$C$11)*EXP(-$C$10/F96))</f>
        <v>3947.89811796168</v>
      </c>
      <c r="H96" s="31" t="n">
        <f aca="false">ABS(G96-$C$12)</f>
        <v>2092.89811796168</v>
      </c>
    </row>
    <row r="97" customFormat="false" ht="15" hidden="false" customHeight="false" outlineLevel="0" collapsed="false">
      <c r="E97" s="29" t="n">
        <v>77</v>
      </c>
      <c r="F97" s="30" t="n">
        <f aca="false">MAX(ABS($C$9),ABS($C$10))*0.12*1.06^(E97-1)</f>
        <v>60336.2419438705</v>
      </c>
      <c r="G97" s="31" t="n">
        <f aca="false">-F97*LN($C$11*EXP(-$C$9/F97)+(1-$C$11)*EXP(-$C$10/F97))</f>
        <v>3955.07480193984</v>
      </c>
      <c r="H97" s="31" t="n">
        <f aca="false">ABS(G97-$C$12)</f>
        <v>2100.07480193984</v>
      </c>
    </row>
    <row r="98" customFormat="false" ht="15" hidden="false" customHeight="false" outlineLevel="0" collapsed="false">
      <c r="E98" s="29" t="n">
        <v>78</v>
      </c>
      <c r="F98" s="30" t="n">
        <f aca="false">MAX(ABS($C$9),ABS($C$10))*0.12*1.06^(E98-1)</f>
        <v>63956.4164605027</v>
      </c>
      <c r="G98" s="31" t="n">
        <f aca="false">-F98*LN($C$11*EXP(-$C$9/F98)+(1-$C$11)*EXP(-$C$10/F98))</f>
        <v>3961.82425912629</v>
      </c>
      <c r="H98" s="31" t="n">
        <f aca="false">ABS(G98-$C$12)</f>
        <v>2106.82425912629</v>
      </c>
    </row>
    <row r="99" customFormat="false" ht="15" hidden="false" customHeight="false" outlineLevel="0" collapsed="false">
      <c r="E99" s="29" t="n">
        <v>79</v>
      </c>
      <c r="F99" s="30" t="n">
        <f aca="false">MAX(ABS($C$9),ABS($C$10))*0.12*1.06^(E99-1)</f>
        <v>67793.8014481329</v>
      </c>
      <c r="G99" s="31" t="n">
        <f aca="false">-F99*LN($C$11*EXP(-$C$9/F99)+(1-$C$11)*EXP(-$C$10/F99))</f>
        <v>3968.17296494832</v>
      </c>
      <c r="H99" s="31" t="n">
        <f aca="false">ABS(G99-$C$12)</f>
        <v>2113.17296494832</v>
      </c>
    </row>
    <row r="100" customFormat="false" ht="15" hidden="false" customHeight="false" outlineLevel="0" collapsed="false">
      <c r="E100" s="29" t="n">
        <v>80</v>
      </c>
      <c r="F100" s="30" t="n">
        <f aca="false">MAX(ABS($C$9),ABS($C$10))*0.12*1.06^(E100-1)</f>
        <v>71861.4295350209</v>
      </c>
      <c r="G100" s="31" t="n">
        <f aca="false">-F100*LN($C$11*EXP(-$C$9/F100)+(1-$C$11)*EXP(-$C$10/F100))</f>
        <v>3974.14564752917</v>
      </c>
      <c r="H100" s="31" t="n">
        <f aca="false">ABS(G100-$C$12)</f>
        <v>2119.14564752917</v>
      </c>
    </row>
    <row r="101" customFormat="false" ht="15" hidden="false" customHeight="false" outlineLevel="0" collapsed="false">
      <c r="E101" s="29" t="n">
        <v>81</v>
      </c>
      <c r="F101" s="30" t="n">
        <f aca="false">MAX(ABS($C$9),ABS($C$10))*0.12*1.06^(E101-1)</f>
        <v>76173.1153071221</v>
      </c>
      <c r="G101" s="31" t="n">
        <f aca="false">-F101*LN($C$11*EXP(-$C$9/F101)+(1-$C$11)*EXP(-$C$10/F101))</f>
        <v>3979.76541322447</v>
      </c>
      <c r="H101" s="31" t="n">
        <f aca="false">ABS(G101-$C$12)</f>
        <v>2124.76541322447</v>
      </c>
    </row>
    <row r="102" customFormat="false" ht="15" hidden="false" customHeight="false" outlineLevel="0" collapsed="false">
      <c r="E102" s="29" t="n">
        <v>82</v>
      </c>
      <c r="F102" s="30" t="n">
        <f aca="false">MAX(ABS($C$9),ABS($C$10))*0.12*1.06^(E102-1)</f>
        <v>80743.5022255494</v>
      </c>
      <c r="G102" s="31" t="n">
        <f aca="false">-F102*LN($C$11*EXP(-$C$9/F102)+(1-$C$11)*EXP(-$C$10/F102))</f>
        <v>3985.05386227385</v>
      </c>
      <c r="H102" s="31" t="n">
        <f aca="false">ABS(G102-$C$12)</f>
        <v>2130.05386227385</v>
      </c>
    </row>
    <row r="103" customFormat="false" ht="15" hidden="false" customHeight="false" outlineLevel="0" collapsed="false">
      <c r="E103" s="29" t="n">
        <v>83</v>
      </c>
      <c r="F103" s="30" t="n">
        <f aca="false">MAX(ABS($C$9),ABS($C$10))*0.12*1.06^(E103-1)</f>
        <v>85588.1123590824</v>
      </c>
      <c r="G103" s="31" t="n">
        <f aca="false">-F103*LN($C$11*EXP(-$C$9/F103)+(1-$C$11)*EXP(-$C$10/F103))</f>
        <v>3990.03119540096</v>
      </c>
      <c r="H103" s="31" t="n">
        <f aca="false">ABS(G103-$C$12)</f>
        <v>2135.03119540096</v>
      </c>
    </row>
    <row r="104" customFormat="false" ht="15" hidden="false" customHeight="false" outlineLevel="0" collapsed="false">
      <c r="E104" s="29" t="n">
        <v>84</v>
      </c>
      <c r="F104" s="30" t="n">
        <f aca="false">MAX(ABS($C$9),ABS($C$10))*0.12*1.06^(E104-1)</f>
        <v>90723.3991006274</v>
      </c>
      <c r="G104" s="31" t="n">
        <f aca="false">-F104*LN($C$11*EXP(-$C$9/F104)+(1-$C$11)*EXP(-$C$10/F104))</f>
        <v>3994.71631212561</v>
      </c>
      <c r="H104" s="31" t="n">
        <f aca="false">ABS(G104-$C$12)</f>
        <v>2139.71631212561</v>
      </c>
    </row>
    <row r="105" customFormat="false" ht="15" hidden="false" customHeight="false" outlineLevel="0" collapsed="false">
      <c r="E105" s="29" t="n">
        <v>85</v>
      </c>
      <c r="F105" s="30" t="n">
        <f aca="false">MAX(ABS($C$9),ABS($C$10))*0.12*1.06^(E105-1)</f>
        <v>96166.803046665</v>
      </c>
      <c r="G105" s="31" t="n">
        <f aca="false">-F105*LN($C$11*EXP(-$C$9/F105)+(1-$C$11)*EXP(-$C$10/F105))</f>
        <v>3999.12690148494</v>
      </c>
      <c r="H105" s="31" t="n">
        <f aca="false">ABS(G105-$C$12)</f>
        <v>2144.12690148494</v>
      </c>
    </row>
    <row r="106" customFormat="false" ht="15" hidden="false" customHeight="false" outlineLevel="0" collapsed="false">
      <c r="E106" s="29" t="n">
        <v>86</v>
      </c>
      <c r="F106" s="30" t="n">
        <f aca="false">MAX(ABS($C$9),ABS($C$10))*0.12*1.06^(E106-1)</f>
        <v>101936.811229465</v>
      </c>
      <c r="G106" s="31" t="n">
        <f aca="false">-F106*LN($C$11*EXP(-$C$9/F106)+(1-$C$11)*EXP(-$C$10/F106))</f>
        <v>4003.27952580114</v>
      </c>
      <c r="H106" s="31" t="n">
        <f aca="false">ABS(G106-$C$12)</f>
        <v>2148.27952580114</v>
      </c>
    </row>
    <row r="107" customFormat="false" ht="15" hidden="false" customHeight="false" outlineLevel="0" collapsed="false">
      <c r="E107" s="29" t="n">
        <v>87</v>
      </c>
      <c r="F107" s="30" t="n">
        <f aca="false">MAX(ABS($C$9),ABS($C$10))*0.12*1.06^(E107-1)</f>
        <v>108053.019903233</v>
      </c>
      <c r="G107" s="31" t="n">
        <f aca="false">-F107*LN($C$11*EXP(-$C$9/F107)+(1-$C$11)*EXP(-$C$10/F107))</f>
        <v>4007.1896980767</v>
      </c>
      <c r="H107" s="31" t="n">
        <f aca="false">ABS(G107-$C$12)</f>
        <v>2152.1896980767</v>
      </c>
    </row>
    <row r="108" customFormat="false" ht="15" hidden="false" customHeight="false" outlineLevel="0" collapsed="false">
      <c r="E108" s="29" t="n">
        <v>88</v>
      </c>
      <c r="F108" s="30" t="n">
        <f aca="false">MAX(ABS($C$9),ABS($C$10))*0.12*1.06^(E108-1)</f>
        <v>114536.201097427</v>
      </c>
      <c r="G108" s="31" t="n">
        <f aca="false">-F108*LN($C$11*EXP(-$C$9/F108)+(1-$C$11)*EXP(-$C$10/F108))</f>
        <v>4010.87195354792</v>
      </c>
      <c r="H108" s="31" t="n">
        <f aca="false">ABS(G108-$C$12)</f>
        <v>2155.87195354792</v>
      </c>
    </row>
    <row r="109" customFormat="false" ht="15" hidden="false" customHeight="false" outlineLevel="0" collapsed="false">
      <c r="E109" s="29" t="n">
        <v>89</v>
      </c>
      <c r="F109" s="30" t="n">
        <f aca="false">MAX(ABS($C$9),ABS($C$10))*0.12*1.06^(E109-1)</f>
        <v>121408.373163272</v>
      </c>
      <c r="G109" s="31" t="n">
        <f aca="false">-F109*LN($C$11*EXP(-$C$9/F109)+(1-$C$11)*EXP(-$C$10/F109))</f>
        <v>4014.33991588005</v>
      </c>
      <c r="H109" s="31" t="n">
        <f aca="false">ABS(G109-$C$12)</f>
        <v>2159.33991588005</v>
      </c>
    </row>
    <row r="110" customFormat="false" ht="15" hidden="false" customHeight="false" outlineLevel="0" collapsed="false">
      <c r="E110" s="29" t="n">
        <v>90</v>
      </c>
      <c r="F110" s="30" t="n">
        <f aca="false">MAX(ABS($C$9),ABS($C$10))*0.12*1.06^(E110-1)</f>
        <v>128692.875553069</v>
      </c>
      <c r="G110" s="31" t="n">
        <f aca="false">-F110*LN($C$11*EXP(-$C$9/F110)+(1-$C$11)*EXP(-$C$10/F110))</f>
        <v>4017.60635844547</v>
      </c>
      <c r="H110" s="31" t="n">
        <f aca="false">ABS(G110-$C$12)</f>
        <v>2162.60635844547</v>
      </c>
    </row>
  </sheetData>
  <mergeCells count="6">
    <mergeCell ref="B1:I1"/>
    <mergeCell ref="B2:I2"/>
    <mergeCell ref="B4:C4"/>
    <mergeCell ref="E5:H6"/>
    <mergeCell ref="B8:C8"/>
    <mergeCell ref="B16:H17"/>
  </mergeCells>
  <dataValidations count="1">
    <dataValidation allowBlank="false" error="Enter a probability from 0 to 1." errorStyle="stop" operator="between" showDropDown="false" showErrorMessage="true" showInputMessage="false" sqref="C11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R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4"/>
    <col collapsed="false" customWidth="true" hidden="false" outlineLevel="0" max="4" min="3" style="0" width="17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3"/>
    <col collapsed="false" customWidth="true" hidden="false" outlineLevel="0" max="10" min="10" style="0" width="20"/>
    <col collapsed="false" customWidth="true" hidden="false" outlineLevel="0" max="16" min="11" style="0" width="11"/>
    <col collapsed="false" customWidth="true" hidden="false" outlineLevel="0" max="17" min="17" style="0" width="12"/>
    <col collapsed="false" customWidth="true" hidden="false" outlineLevel="0" max="18" min="18" style="0" width="13"/>
  </cols>
  <sheetData>
    <row r="1" customFormat="false" ht="24" hidden="false" customHeight="true" outlineLevel="0" collapsed="false">
      <c r="B1" s="5" t="s">
        <v>72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</row>
    <row r="2" customFormat="false" ht="25.5" hidden="false" customHeight="true" outlineLevel="0" collapsed="false">
      <c r="B2" s="6" t="s">
        <v>73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4" customFormat="false" ht="15" hidden="false" customHeight="false" outlineLevel="0" collapsed="false">
      <c r="B4" s="7" t="s">
        <v>74</v>
      </c>
      <c r="C4" s="7"/>
      <c r="D4" s="7"/>
      <c r="E4" s="7"/>
      <c r="F4" s="7"/>
      <c r="G4" s="7"/>
      <c r="H4" s="8" t="s">
        <v>13</v>
      </c>
      <c r="J4" s="7" t="s">
        <v>75</v>
      </c>
      <c r="K4" s="7"/>
      <c r="L4" s="7"/>
      <c r="M4" s="7"/>
      <c r="N4" s="7"/>
      <c r="O4" s="7"/>
      <c r="P4" s="7"/>
      <c r="Q4" s="7"/>
      <c r="R4" s="7"/>
    </row>
    <row r="5" customFormat="false" ht="15" hidden="false" customHeight="false" outlineLevel="0" collapsed="false">
      <c r="B5" s="18" t="s">
        <v>76</v>
      </c>
      <c r="C5" s="18" t="s">
        <v>77</v>
      </c>
      <c r="D5" s="18" t="s">
        <v>78</v>
      </c>
      <c r="E5" s="19" t="s">
        <v>79</v>
      </c>
      <c r="F5" s="19" t="s">
        <v>80</v>
      </c>
      <c r="G5" s="19" t="s">
        <v>81</v>
      </c>
      <c r="J5" s="18" t="s">
        <v>82</v>
      </c>
      <c r="K5" s="19" t="str">
        <f aca="false">IF($B$6="","—",$B$6)</f>
        <v>Net profit</v>
      </c>
      <c r="L5" s="19" t="str">
        <f aca="false">IF($B$7="","—",$B$7)</f>
        <v>Student experience</v>
      </c>
      <c r="M5" s="19" t="str">
        <f aca="false">IF($B$8="","—",$B$8)</f>
        <v>Volunteer workload</v>
      </c>
      <c r="N5" s="19" t="str">
        <f aca="false">IF($B$9="","—",$B$9)</f>
        <v>—</v>
      </c>
      <c r="O5" s="19" t="str">
        <f aca="false">IF($B$10="","—",$B$10)</f>
        <v>—</v>
      </c>
      <c r="P5" s="19" t="str">
        <f aca="false">IF($B$11="","—",$B$11)</f>
        <v>—</v>
      </c>
      <c r="Q5" s="19" t="s">
        <v>83</v>
      </c>
      <c r="R5" s="8" t="s">
        <v>13</v>
      </c>
    </row>
    <row r="6" customFormat="false" ht="15" hidden="false" customHeight="false" outlineLevel="0" collapsed="false">
      <c r="B6" s="32" t="s">
        <v>84</v>
      </c>
      <c r="C6" s="32" t="s">
        <v>85</v>
      </c>
      <c r="D6" s="32" t="s">
        <v>86</v>
      </c>
      <c r="E6" s="10" t="n">
        <v>1</v>
      </c>
      <c r="F6" s="10" t="n">
        <v>100</v>
      </c>
      <c r="G6" s="13" t="n">
        <f aca="false">IF(ISNUMBER(F6),F6/SUM($F$6:$F$11),"")</f>
        <v>0.5</v>
      </c>
      <c r="H6" s="11" t="s">
        <v>87</v>
      </c>
      <c r="J6" s="32" t="s">
        <v>88</v>
      </c>
      <c r="K6" s="10" t="n">
        <v>85</v>
      </c>
      <c r="L6" s="10" t="n">
        <v>80</v>
      </c>
      <c r="M6" s="10" t="n">
        <v>30</v>
      </c>
      <c r="N6" s="10"/>
      <c r="O6" s="10"/>
      <c r="P6" s="10"/>
      <c r="Q6" s="33" t="n">
        <f aca="false">IF($J6="","",IF(ISNUMBER(K6),K6*IF(ISNUMBER($G$6),$G$6,0),0)+IF(ISNUMBER(L6),L6*IF(ISNUMBER($G$7),$G$7,0),0)+IF(ISNUMBER(M6),M6*IF(ISNUMBER($G$8),$G$8,0),0)+IF(ISNUMBER(N6),N6*IF(ISNUMBER($G$9),$G$9,0),0)+IF(ISNUMBER(O6),O6*IF(ISNUMBER($G$10),$G$10,0),0)+IF(ISNUMBER(P6),P6*IF(ISNUMBER($G$11),$G$11,0),0))</f>
        <v>72.5</v>
      </c>
      <c r="R6" s="11" t="s">
        <v>89</v>
      </c>
    </row>
    <row r="7" customFormat="false" ht="15" hidden="false" customHeight="false" outlineLevel="0" collapsed="false">
      <c r="B7" s="32" t="s">
        <v>90</v>
      </c>
      <c r="C7" s="32" t="s">
        <v>91</v>
      </c>
      <c r="D7" s="32" t="s">
        <v>92</v>
      </c>
      <c r="E7" s="10" t="n">
        <v>2</v>
      </c>
      <c r="F7" s="10" t="n">
        <v>60</v>
      </c>
      <c r="G7" s="13" t="n">
        <f aca="false">IF(ISNUMBER(F7),F7/SUM($F$6:$F$11),"")</f>
        <v>0.3</v>
      </c>
      <c r="H7" s="11" t="s">
        <v>93</v>
      </c>
      <c r="J7" s="32" t="s">
        <v>94</v>
      </c>
      <c r="K7" s="10" t="n">
        <v>55</v>
      </c>
      <c r="L7" s="10" t="n">
        <v>60</v>
      </c>
      <c r="M7" s="10" t="n">
        <v>80</v>
      </c>
      <c r="N7" s="10"/>
      <c r="O7" s="10"/>
      <c r="P7" s="10"/>
      <c r="Q7" s="33" t="n">
        <f aca="false">IF($J7="","",IF(ISNUMBER(K7),K7*IF(ISNUMBER($G$6),$G$6,0),0)+IF(ISNUMBER(L7),L7*IF(ISNUMBER($G$7),$G$7,0),0)+IF(ISNUMBER(M7),M7*IF(ISNUMBER($G$8),$G$8,0),0)+IF(ISNUMBER(N7),N7*IF(ISNUMBER($G$9),$G$9,0),0)+IF(ISNUMBER(O7),O7*IF(ISNUMBER($G$10),$G$10,0),0)+IF(ISNUMBER(P7),P7*IF(ISNUMBER($G$11),$G$11,0),0))</f>
        <v>61.5</v>
      </c>
      <c r="R7" s="11" t="s">
        <v>95</v>
      </c>
    </row>
    <row r="8" customFormat="false" ht="15" hidden="false" customHeight="false" outlineLevel="0" collapsed="false">
      <c r="B8" s="32" t="s">
        <v>96</v>
      </c>
      <c r="C8" s="32" t="s">
        <v>97</v>
      </c>
      <c r="D8" s="32" t="s">
        <v>98</v>
      </c>
      <c r="E8" s="10" t="n">
        <v>3</v>
      </c>
      <c r="F8" s="10" t="n">
        <v>40</v>
      </c>
      <c r="G8" s="13" t="n">
        <f aca="false">IF(ISNUMBER(F8),F8/SUM($F$6:$F$11),"")</f>
        <v>0.2</v>
      </c>
      <c r="H8" s="11" t="s">
        <v>99</v>
      </c>
      <c r="J8" s="32" t="s">
        <v>100</v>
      </c>
      <c r="K8" s="10" t="n">
        <v>20</v>
      </c>
      <c r="L8" s="10" t="n">
        <v>40</v>
      </c>
      <c r="M8" s="10" t="n">
        <v>90</v>
      </c>
      <c r="N8" s="10"/>
      <c r="O8" s="10"/>
      <c r="P8" s="10"/>
      <c r="Q8" s="33" t="n">
        <f aca="false">IF($J8="","",IF(ISNUMBER(K8),K8*IF(ISNUMBER($G$6),$G$6,0),0)+IF(ISNUMBER(L8),L8*IF(ISNUMBER($G$7),$G$7,0),0)+IF(ISNUMBER(M8),M8*IF(ISNUMBER($G$8),$G$8,0),0)+IF(ISNUMBER(N8),N8*IF(ISNUMBER($G$9),$G$9,0),0)+IF(ISNUMBER(O8),O8*IF(ISNUMBER($G$10),$G$10,0),0)+IF(ISNUMBER(P8),P8*IF(ISNUMBER($G$11),$G$11,0),0))</f>
        <v>40</v>
      </c>
      <c r="R8" s="11" t="s">
        <v>101</v>
      </c>
    </row>
    <row r="9" customFormat="false" ht="15" hidden="false" customHeight="false" outlineLevel="0" collapsed="false">
      <c r="B9" s="32"/>
      <c r="C9" s="32"/>
      <c r="D9" s="32"/>
      <c r="E9" s="10"/>
      <c r="F9" s="10"/>
      <c r="G9" s="13" t="str">
        <f aca="false">IF(ISNUMBER(F9),F9/SUM($F$6:$F$11),"")</f>
        <v/>
      </c>
      <c r="J9" s="32"/>
      <c r="K9" s="10"/>
      <c r="L9" s="10"/>
      <c r="M9" s="10"/>
      <c r="N9" s="10"/>
      <c r="O9" s="10"/>
      <c r="P9" s="10"/>
      <c r="Q9" s="33" t="str">
        <f aca="false">IF($J9="","",IF(ISNUMBER(K9),K9*IF(ISNUMBER($G$6),$G$6,0),0)+IF(ISNUMBER(L9),L9*IF(ISNUMBER($G$7),$G$7,0),0)+IF(ISNUMBER(M9),M9*IF(ISNUMBER($G$8),$G$8,0),0)+IF(ISNUMBER(N9),N9*IF(ISNUMBER($G$9),$G$9,0),0)+IF(ISNUMBER(O9),O9*IF(ISNUMBER($G$10),$G$10,0),0)+IF(ISNUMBER(P9),P9*IF(ISNUMBER($G$11),$G$11,0),0))</f>
        <v/>
      </c>
    </row>
    <row r="10" customFormat="false" ht="15" hidden="false" customHeight="false" outlineLevel="0" collapsed="false">
      <c r="B10" s="32"/>
      <c r="C10" s="32"/>
      <c r="D10" s="32"/>
      <c r="E10" s="10"/>
      <c r="F10" s="10"/>
      <c r="G10" s="13" t="str">
        <f aca="false">IF(ISNUMBER(F10),F10/SUM($F$6:$F$11),"")</f>
        <v/>
      </c>
      <c r="J10" s="32"/>
      <c r="K10" s="10"/>
      <c r="L10" s="10"/>
      <c r="M10" s="10"/>
      <c r="N10" s="10"/>
      <c r="O10" s="10"/>
      <c r="P10" s="10"/>
      <c r="Q10" s="33" t="str">
        <f aca="false">IF($J10="","",IF(ISNUMBER(K10),K10*IF(ISNUMBER($G$6),$G$6,0),0)+IF(ISNUMBER(L10),L10*IF(ISNUMBER($G$7),$G$7,0),0)+IF(ISNUMBER(M10),M10*IF(ISNUMBER($G$8),$G$8,0),0)+IF(ISNUMBER(N10),N10*IF(ISNUMBER($G$9),$G$9,0),0)+IF(ISNUMBER(O10),O10*IF(ISNUMBER($G$10),$G$10,0),0)+IF(ISNUMBER(P10),P10*IF(ISNUMBER($G$11),$G$11,0),0))</f>
        <v/>
      </c>
    </row>
    <row r="11" customFormat="false" ht="15" hidden="false" customHeight="false" outlineLevel="0" collapsed="false">
      <c r="B11" s="32"/>
      <c r="C11" s="32"/>
      <c r="D11" s="32"/>
      <c r="E11" s="10"/>
      <c r="F11" s="10"/>
      <c r="G11" s="13" t="str">
        <f aca="false">IF(ISNUMBER(F11),F11/SUM($F$6:$F$11),"")</f>
        <v/>
      </c>
    </row>
    <row r="12" customFormat="false" ht="15" hidden="false" customHeight="false" outlineLevel="0" collapsed="false">
      <c r="J12" s="12" t="s">
        <v>102</v>
      </c>
      <c r="K12" s="12"/>
      <c r="L12" s="12"/>
      <c r="M12" s="12"/>
      <c r="N12" s="12"/>
      <c r="O12" s="12"/>
      <c r="P12" s="12"/>
      <c r="Q12" s="34" t="str">
        <f aca="false">INDEX(J6:J10,MATCH(MAX(Q6:Q10),Q6:Q10,0))</f>
        <v>Second cart</v>
      </c>
      <c r="R12" s="11" t="s">
        <v>88</v>
      </c>
    </row>
    <row r="13" customFormat="false" ht="15" hidden="false" customHeight="true" outlineLevel="0" collapsed="false">
      <c r="B13" s="6" t="s">
        <v>103</v>
      </c>
      <c r="C13" s="6"/>
      <c r="D13" s="6"/>
      <c r="E13" s="6"/>
      <c r="F13" s="6"/>
      <c r="G13" s="6"/>
      <c r="H13" s="6"/>
    </row>
    <row r="14" customFormat="false" ht="15" hidden="false" customHeight="true" outlineLevel="0" collapsed="false">
      <c r="B14" s="6"/>
      <c r="C14" s="6"/>
      <c r="D14" s="6"/>
      <c r="E14" s="6"/>
      <c r="F14" s="6"/>
      <c r="G14" s="6"/>
      <c r="H14" s="6"/>
      <c r="J14" s="6" t="s">
        <v>104</v>
      </c>
      <c r="K14" s="6"/>
      <c r="L14" s="6"/>
      <c r="M14" s="6"/>
      <c r="N14" s="6"/>
      <c r="O14" s="6"/>
      <c r="P14" s="6"/>
      <c r="Q14" s="6"/>
      <c r="R14" s="6"/>
    </row>
    <row r="15" customFormat="false" ht="15" hidden="false" customHeight="false" outlineLevel="0" collapsed="false">
      <c r="J15" s="6"/>
      <c r="K15" s="6"/>
      <c r="L15" s="6"/>
      <c r="M15" s="6"/>
      <c r="N15" s="6"/>
      <c r="O15" s="6"/>
      <c r="P15" s="6"/>
      <c r="Q15" s="6"/>
      <c r="R15" s="6"/>
    </row>
  </sheetData>
  <mergeCells count="7">
    <mergeCell ref="B1:R1"/>
    <mergeCell ref="B2:R2"/>
    <mergeCell ref="B4:G4"/>
    <mergeCell ref="J4:R4"/>
    <mergeCell ref="J12:P12"/>
    <mergeCell ref="B13:H14"/>
    <mergeCell ref="J14:R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4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3"/>
    <col collapsed="false" customWidth="true" hidden="false" outlineLevel="0" max="6" min="6" style="0" width="14"/>
    <col collapsed="false" customWidth="true" hidden="false" outlineLevel="0" max="7" min="7" style="0" width="40"/>
  </cols>
  <sheetData>
    <row r="1" customFormat="false" ht="24" hidden="false" customHeight="true" outlineLevel="0" collapsed="false">
      <c r="B1" s="5" t="s">
        <v>105</v>
      </c>
      <c r="C1" s="5"/>
      <c r="D1" s="5"/>
      <c r="E1" s="5"/>
      <c r="F1" s="5"/>
      <c r="G1" s="5"/>
    </row>
    <row r="2" customFormat="false" ht="25.5" hidden="false" customHeight="true" outlineLevel="0" collapsed="false">
      <c r="B2" s="6" t="s">
        <v>106</v>
      </c>
      <c r="C2" s="6"/>
      <c r="D2" s="6"/>
      <c r="E2" s="6"/>
      <c r="F2" s="6"/>
      <c r="G2" s="6"/>
    </row>
    <row r="4" customFormat="false" ht="15" hidden="false" customHeight="false" outlineLevel="0" collapsed="false">
      <c r="B4" s="7" t="s">
        <v>107</v>
      </c>
      <c r="C4" s="7"/>
      <c r="D4" s="8" t="s">
        <v>13</v>
      </c>
    </row>
    <row r="5" customFormat="false" ht="23.85" hidden="false" customHeight="false" outlineLevel="0" collapsed="false">
      <c r="B5" s="16" t="s">
        <v>108</v>
      </c>
      <c r="C5" s="14" t="n">
        <v>0.75</v>
      </c>
      <c r="D5" s="11" t="s">
        <v>109</v>
      </c>
      <c r="F5" s="35" t="str">
        <f aca="false">IF(C7="","",IF(C7&lt;1.5,"Weak. This signal barely separates the states and will barely move your belief. Question whether it is worth its price.",IF(C7&lt;3,"Moderate. The signal moves belief usefully. Compare its price against the value-of-information ceiling from Decision Two.","Informative. The signal separates the states well. Check the price against the value-of-information ceiling, then buy. For Campus Grounds the ceiling was 1,350 dollars and the trial cost 300, so the trial was bought.")))</f>
        <v>Informative. The signal separates the states well. Check the price against the value-of-information ceiling, then buy. For Campus Grounds the ceiling was 1,350 dollars and the trial cost 300, so the trial was bought.</v>
      </c>
      <c r="G5" s="35"/>
    </row>
    <row r="6" customFormat="false" ht="23.85" hidden="false" customHeight="false" outlineLevel="0" collapsed="false">
      <c r="B6" s="16" t="s">
        <v>110</v>
      </c>
      <c r="C6" s="14" t="n">
        <v>0.25</v>
      </c>
      <c r="D6" s="11" t="s">
        <v>111</v>
      </c>
      <c r="F6" s="35"/>
      <c r="G6" s="35"/>
    </row>
    <row r="7" customFormat="false" ht="15" hidden="false" customHeight="false" outlineLevel="0" collapsed="false">
      <c r="B7" s="12" t="s">
        <v>112</v>
      </c>
      <c r="C7" s="13" t="n">
        <f aca="false">IF(C6&gt;0,C5/C6,"")</f>
        <v>3</v>
      </c>
      <c r="D7" s="11" t="s">
        <v>113</v>
      </c>
      <c r="F7" s="35"/>
      <c r="G7" s="35"/>
    </row>
    <row r="8" customFormat="false" ht="15" hidden="false" customHeight="false" outlineLevel="0" collapsed="false">
      <c r="B8" s="9" t="s">
        <v>114</v>
      </c>
      <c r="C8" s="14" t="n">
        <v>0.55</v>
      </c>
      <c r="D8" s="11" t="s">
        <v>115</v>
      </c>
      <c r="F8" s="35"/>
      <c r="G8" s="35"/>
    </row>
    <row r="9" customFormat="false" ht="15" hidden="false" customHeight="false" outlineLevel="0" collapsed="false">
      <c r="B9" s="12" t="s">
        <v>116</v>
      </c>
      <c r="C9" s="36" t="n">
        <f aca="false">C8*C5/(C8*C5+(1-C8)*C6)</f>
        <v>0.785714285714286</v>
      </c>
      <c r="D9" s="11" t="s">
        <v>117</v>
      </c>
      <c r="F9" s="35"/>
      <c r="G9" s="35"/>
    </row>
    <row r="10" customFormat="false" ht="15" hidden="false" customHeight="false" outlineLevel="0" collapsed="false">
      <c r="B10" s="9" t="s">
        <v>118</v>
      </c>
      <c r="C10" s="15" t="n">
        <f aca="false">C8*(1-C5)/(C8*(1-C5)+(1-C8)*(1-C6))</f>
        <v>0.289473684210526</v>
      </c>
      <c r="D10" s="11" t="s">
        <v>119</v>
      </c>
      <c r="F10" s="35"/>
      <c r="G10" s="35"/>
    </row>
  </sheetData>
  <mergeCells count="4">
    <mergeCell ref="B1:G1"/>
    <mergeCell ref="B2:G2"/>
    <mergeCell ref="B4:C4"/>
    <mergeCell ref="F5:G10"/>
  </mergeCells>
  <dataValidations count="1">
    <dataValidation allowBlank="false" error="Enter a probability from 0 to 1." errorStyle="stop" operator="between" showDropDown="false" showErrorMessage="true" showInputMessage="false" sqref="C5:C6 C8" type="decimal">
      <formula1>0</formula1>
      <formula2>1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50"/>
    <col collapsed="false" customWidth="true" hidden="false" outlineLevel="0" max="3" min="3" style="0" width="15"/>
    <col collapsed="false" customWidth="true" hidden="false" outlineLevel="0" max="4" min="4" style="0" width="18"/>
    <col collapsed="false" customWidth="true" hidden="false" outlineLevel="0" max="5" min="5" style="0" width="34"/>
  </cols>
  <sheetData>
    <row r="1" customFormat="false" ht="24" hidden="false" customHeight="true" outlineLevel="0" collapsed="false">
      <c r="B1" s="5" t="s">
        <v>120</v>
      </c>
      <c r="C1" s="5"/>
      <c r="D1" s="5"/>
      <c r="E1" s="5"/>
    </row>
    <row r="2" customFormat="false" ht="25.5" hidden="false" customHeight="true" outlineLevel="0" collapsed="false">
      <c r="B2" s="6" t="s">
        <v>121</v>
      </c>
      <c r="C2" s="6"/>
      <c r="D2" s="6"/>
      <c r="E2" s="6"/>
    </row>
    <row r="4" customFormat="false" ht="15" hidden="false" customHeight="false" outlineLevel="0" collapsed="false">
      <c r="B4" s="18" t="s">
        <v>122</v>
      </c>
      <c r="C4" s="19" t="s">
        <v>123</v>
      </c>
      <c r="D4" s="8" t="s">
        <v>13</v>
      </c>
      <c r="E4" s="18" t="s">
        <v>124</v>
      </c>
    </row>
    <row r="5" customFormat="false" ht="24" hidden="false" customHeight="true" outlineLevel="0" collapsed="false">
      <c r="B5" s="16" t="s">
        <v>125</v>
      </c>
      <c r="C5" s="13" t="n">
        <f aca="false">'1 Probabilities'!C8</f>
        <v>0.55</v>
      </c>
      <c r="D5" s="11" t="s">
        <v>126</v>
      </c>
      <c r="E5" s="37" t="s">
        <v>127</v>
      </c>
    </row>
    <row r="6" customFormat="false" ht="24" hidden="false" customHeight="true" outlineLevel="0" collapsed="false">
      <c r="B6" s="16" t="s">
        <v>128</v>
      </c>
      <c r="C6" s="17" t="n">
        <f aca="false">'1 Probabilities'!C14</f>
        <v>200</v>
      </c>
      <c r="D6" s="11" t="s">
        <v>31</v>
      </c>
      <c r="E6" s="37" t="s">
        <v>129</v>
      </c>
    </row>
    <row r="7" customFormat="false" ht="24" hidden="false" customHeight="true" outlineLevel="0" collapsed="false">
      <c r="B7" s="16" t="s">
        <v>130</v>
      </c>
      <c r="C7" s="17" t="n">
        <f aca="false">'1 Probabilities'!C15</f>
        <v>62.4244079435059</v>
      </c>
      <c r="D7" s="11" t="s">
        <v>33</v>
      </c>
      <c r="E7" s="37" t="s">
        <v>131</v>
      </c>
    </row>
    <row r="8" customFormat="false" ht="24" hidden="false" customHeight="true" outlineLevel="0" collapsed="false">
      <c r="B8" s="16" t="s">
        <v>132</v>
      </c>
      <c r="C8" s="25" t="n">
        <f aca="false">'2 Risk Tolerance'!C13</f>
        <v>3901.23928726184</v>
      </c>
      <c r="D8" s="11" t="s">
        <v>65</v>
      </c>
      <c r="E8" s="37" t="s">
        <v>133</v>
      </c>
    </row>
    <row r="9" customFormat="false" ht="24" hidden="false" customHeight="true" outlineLevel="0" collapsed="false">
      <c r="B9" s="16" t="s">
        <v>134</v>
      </c>
      <c r="C9" s="38" t="n">
        <f aca="false">'1 Probabilities'!C41</f>
        <v>0.2525</v>
      </c>
      <c r="D9" s="11" t="s">
        <v>46</v>
      </c>
      <c r="E9" s="37" t="s">
        <v>135</v>
      </c>
    </row>
    <row r="10" customFormat="false" ht="24" hidden="false" customHeight="true" outlineLevel="0" collapsed="false">
      <c r="B10" s="16" t="s">
        <v>136</v>
      </c>
      <c r="C10" s="39" t="str">
        <f aca="false">'3 Weights'!Q12</f>
        <v>Second cart</v>
      </c>
      <c r="D10" s="11" t="s">
        <v>88</v>
      </c>
      <c r="E10" s="37" t="s">
        <v>137</v>
      </c>
    </row>
    <row r="11" customFormat="false" ht="24" hidden="false" customHeight="true" outlineLevel="0" collapsed="false">
      <c r="B11" s="16" t="s">
        <v>138</v>
      </c>
      <c r="C11" s="13" t="n">
        <f aca="false">'4 Likelihoods'!C7</f>
        <v>3</v>
      </c>
      <c r="D11" s="11" t="s">
        <v>139</v>
      </c>
      <c r="E11" s="37" t="s">
        <v>140</v>
      </c>
    </row>
  </sheetData>
  <mergeCells count="2">
    <mergeCell ref="B1:E1"/>
    <mergeCell ref="B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2026-07-04T10:27:56Z</dcterms:created>
  <dc:creator>openpyxl</dc:creator>
  <dc:description/>
  <dc:language>en-US</dc:language>
  <cp:lastModifiedBy/>
  <dcterms:modified xsi:type="dcterms:W3CDTF">2026-07-04T10:27:56Z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