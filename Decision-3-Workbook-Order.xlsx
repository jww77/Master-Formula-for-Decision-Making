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Chart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<sst xmlns="http://schemas.openxmlformats.org/spreadsheetml/2006/main" count="22" uniqueCount="22">
  <si>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Decision 3  —  The Workbook Order</t>
  </si>
  <si>
    <t xml:space="preserve">Change the yellow cells. The tool finds the order quantity with the highest expected profit. Attendance is treated as a normal distribution.</t>
  </si>
  <si>
    <t xml:space="preserve">INPUTS  —  change these</t>
  </si>
  <si>
    <t xml:space="preserve">Mean attendance</t>
  </si>
  <si>
    <t xml:space="preserve">Standard deviation of attendance</t>
  </si>
  <si>
    <t xml:space="preserve">Margin earned per attendee served</t>
  </si>
  <si>
    <t xml:space="preserve">Cost to print one workbook</t>
  </si>
  <si>
    <t xml:space="preserve">Salvage value of one leftover workbook</t>
  </si>
  <si>
    <t xml:space="preserve">RESULTS  —  calculated</t>
  </si>
  <si>
    <t xml:space="preserve">Underage cost, being one short (margin lost)</t>
  </si>
  <si>
    <t xml:space="preserve">Overage cost, being one over (print minus salvage)</t>
  </si>
  <si>
    <t xml:space="preserve">Critical ratio = underage / (underage + overage)</t>
  </si>
  <si>
    <t xml:space="preserve">z* = the point where that fraction of demand sits below</t>
  </si>
  <si>
    <t xml:space="preserve">Best order quantity, Q* = mean + z* x sd</t>
  </si>
  <si>
    <t xml:space="preserve">Expected profit at Q*</t>
  </si>
  <si>
    <t xml:space="preserve">Expected profit if you just order the mean</t>
  </si>
  <si>
    <t xml:space="preserve">The best order sits above the mean whenever being short costs more than being long, that is when the critical ratio is above one half.</t>
  </si>
  <si>
    <t xml:space="preserve">Q (order)</t>
  </si>
  <si>
    <t xml:space="preserve">Expected profit</t>
  </si>
  <si>
    <t xml:space="preserve">z</t>
  </si>
  <si>
    <t xml:space="preserve">Eshort</t>
  </si>
  <si>
    <t xml:space="preserve">Emin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</si>
</sst>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;&quot;($&quot;#,##0\)"/>
    <numFmt numFmtId="167" formatCode="0.00"/>
    <numFmt numFmtId="168" formatCode="\$#,##0"/>
    <numFmt numFmtId="169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B6B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223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1A2230"/>
      <name val="Arial"/>
      <family val="0"/>
      <charset val="1"/>
    </font>
    <font>
      <b val="true"/>
      <sz val="10"/>
      <color rgb="FF1A2230"/>
      <name val="Arial"/>
      <family val="0"/>
      <charset val="1"/>
    </font>
    <font>
      <b val="true"/>
      <sz val="12"/>
      <color rgb="FF041E42"/>
      <name val="Arial"/>
      <family val="0"/>
      <charset val="1"/>
    </font>
    <font>
      <b val="true"/>
      <sz val="11"/>
      <color rgb="FF1A2230"/>
      <name val="Arial"/>
      <family val="0"/>
      <charset val="1"/>
    </font>
    <font>
      <i val="true"/>
      <sz val="8.5"/>
      <color rgb="FF5B6B7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41E42"/>
      <name val="Arial"/>
      <family val="0"/>
      <charset val="1"/>
    </font>
    <font>
      <b val="true"/>
      <sz val="9"/>
      <color rgb="FF5B6B7B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1E42"/>
        <bgColor rgb="FF1A2230"/>
      </patternFill>
    </fill>
    <fill>
      <patternFill patternType="solid">
        <fgColor rgb="FFFFF3C4"/>
        <bgColor rgb="FFFFFF99"/>
      </patternFill>
    </fill>
    <fill>
      <patternFill patternType="solid">
        <fgColor rgb="FFE8D8A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2"/>
      <rgbColor rgb="FF878787"/>
      <rgbColor rgb="FF9999FF"/>
      <rgbColor rgb="FF993366"/>
      <rgbColor rgb="FFFFF3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8AA"/>
      <rgbColor rgb="FF3366FF"/>
      <rgbColor rgb="FF33CCCC"/>
      <rgbColor rgb="FF99CC00"/>
      <rgbColor rgb="FFFFCC00"/>
      <rgbColor rgb="FFFF9900"/>
      <rgbColor rgb="FFFF6600"/>
      <rgbColor rgb="FF5B6B7B"/>
      <rgbColor rgb="FF969696"/>
      <rgbColor rgb="FF041E42"/>
      <rgbColor rgb="FF339966"/>
      <rgbColor rgb="FF003300"/>
      <rgbColor rgb="FF33330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profit against the number of workbooks ordered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Expected profit</c:v>
                </c:pt>
              </c:strCache>
            </c:strRef>
          </c:tx>
          <c:spPr>
            <a:solidFill>
              <a:srgbClr val="041e42"/>
            </a:solidFill>
            <a:ln w="28440">
              <a:solidFill>
                <a:srgbClr val="041e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ChartData!$A$2:$A$32</c:f>
              <c:strCache>
                <c:ptCount val="31"/>
                <c:pt idx="0">
                  <c:v>80</c:v>
                </c:pt>
                <c:pt idx="1">
                  <c:v>88</c:v>
                </c:pt>
                <c:pt idx="2">
                  <c:v>96</c:v>
                </c:pt>
                <c:pt idx="3">
                  <c:v>104</c:v>
                </c:pt>
                <c:pt idx="4">
                  <c:v>112</c:v>
                </c:pt>
                <c:pt idx="5">
                  <c:v>120</c:v>
                </c:pt>
                <c:pt idx="6">
                  <c:v>128</c:v>
                </c:pt>
                <c:pt idx="7">
                  <c:v>136</c:v>
                </c:pt>
                <c:pt idx="8">
                  <c:v>144</c:v>
                </c:pt>
                <c:pt idx="9">
                  <c:v>152</c:v>
                </c:pt>
                <c:pt idx="10">
                  <c:v>160</c:v>
                </c:pt>
                <c:pt idx="11">
                  <c:v>168</c:v>
                </c:pt>
                <c:pt idx="12">
                  <c:v>176</c:v>
                </c:pt>
                <c:pt idx="13">
                  <c:v>184</c:v>
                </c:pt>
                <c:pt idx="14">
                  <c:v>192</c:v>
                </c:pt>
                <c:pt idx="15">
                  <c:v>200</c:v>
                </c:pt>
                <c:pt idx="16">
                  <c:v>208</c:v>
                </c:pt>
                <c:pt idx="17">
                  <c:v>216</c:v>
                </c:pt>
                <c:pt idx="18">
                  <c:v>224</c:v>
                </c:pt>
                <c:pt idx="19">
                  <c:v>232</c:v>
                </c:pt>
                <c:pt idx="20">
                  <c:v>240</c:v>
                </c:pt>
                <c:pt idx="21">
                  <c:v>248</c:v>
                </c:pt>
                <c:pt idx="22">
                  <c:v>256</c:v>
                </c:pt>
                <c:pt idx="23">
                  <c:v>264</c:v>
                </c:pt>
                <c:pt idx="24">
                  <c:v>272</c:v>
                </c:pt>
                <c:pt idx="25">
                  <c:v>280</c:v>
                </c:pt>
                <c:pt idx="26">
                  <c:v>288</c:v>
                </c:pt>
                <c:pt idx="27">
                  <c:v>296</c:v>
                </c:pt>
                <c:pt idx="28">
                  <c:v>304</c:v>
                </c:pt>
                <c:pt idx="29">
                  <c:v>312</c:v>
                </c:pt>
                <c:pt idx="30">
                  <c:v>320</c:v>
                </c:pt>
              </c:strCache>
            </c:strRef>
          </c:cat>
          <c:val>
            <c:numRef>
              <c:f>ChartData!$B$2:$B$32</c:f>
              <c:numCache>
                <c:formatCode>\$#,##0</c:formatCode>
                <c:ptCount val="31"/>
                <c:pt idx="0">
                  <c:v>3599.08282963909</c:v>
                </c:pt>
                <c:pt idx="1">
                  <c:v>3958.17339202132</c:v>
                </c:pt>
                <c:pt idx="2">
                  <c:v>4316.48668710716</c:v>
                </c:pt>
                <c:pt idx="3">
                  <c:v>4673.47093421805</c:v>
                </c:pt>
                <c:pt idx="4">
                  <c:v>5028.27118004032</c:v>
                </c:pt>
                <c:pt idx="5">
                  <c:v>5379.62231371961</c:v>
                </c:pt>
                <c:pt idx="6">
                  <c:v>5725.73859864569</c:v>
                </c:pt>
                <c:pt idx="7">
                  <c:v>6064.21927689561</c:v>
                </c:pt>
                <c:pt idx="8">
                  <c:v>6391.99645749968</c:v>
                </c:pt>
                <c:pt idx="9">
                  <c:v>6705.35411827881</c:v>
                </c:pt>
                <c:pt idx="10">
                  <c:v>7000.04287058955</c:v>
                </c:pt>
                <c:pt idx="11">
                  <c:v>7271.50263865256</c:v>
                </c:pt>
                <c:pt idx="12">
                  <c:v>7515.18544261979</c:v>
                </c:pt>
                <c:pt idx="13">
                  <c:v>7726.94679132611</c:v>
                </c:pt>
                <c:pt idx="14">
                  <c:v>7903.45287392814</c:v>
                </c:pt>
                <c:pt idx="15">
                  <c:v>8042.53852703656</c:v>
                </c:pt>
                <c:pt idx="16">
                  <c:v>8143.45287392814</c:v>
                </c:pt>
                <c:pt idx="17">
                  <c:v>8206.94679132611</c:v>
                </c:pt>
                <c:pt idx="18">
                  <c:v>8235.18544261979</c:v>
                </c:pt>
                <c:pt idx="19">
                  <c:v>8231.50263865256</c:v>
                </c:pt>
                <c:pt idx="20">
                  <c:v>8200.04287058955</c:v>
                </c:pt>
                <c:pt idx="21">
                  <c:v>8145.35411827881</c:v>
                </c:pt>
                <c:pt idx="22">
                  <c:v>8071.99645749968</c:v>
                </c:pt>
                <c:pt idx="23">
                  <c:v>7984.21927689561</c:v>
                </c:pt>
                <c:pt idx="24">
                  <c:v>7885.73859864569</c:v>
                </c:pt>
                <c:pt idx="25">
                  <c:v>7779.62231371961</c:v>
                </c:pt>
                <c:pt idx="26">
                  <c:v>7668.27118004032</c:v>
                </c:pt>
                <c:pt idx="27">
                  <c:v>7553.47093421805</c:v>
                </c:pt>
                <c:pt idx="28">
                  <c:v>7436.48668710716</c:v>
                </c:pt>
                <c:pt idx="29">
                  <c:v>7318.17339202133</c:v>
                </c:pt>
                <c:pt idx="30">
                  <c:v>7199.08282963909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148297"/>
        <c:axId val="96638751"/>
      </c:lineChart>
      <c:catAx>
        <c:axId val="59148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Workbooks ordered, Q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38751"/>
        <c:crosses val="autoZero"/>
        <c:auto val="1"/>
        <c:lblAlgn val="ctr"/>
        <c:lblOffset val="100"/>
        <c:noMultiLvlLbl val="0"/>
      </c:catAx>
      <c:valAx>
        <c:axId val="96638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Expected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48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12</xdr:col>
      <xdr:colOff>313200</xdr:colOff>
      <xdr:row>18</xdr:row>
      <xdr:rowOff>276120</xdr:rowOff>
    </xdr:to>
    <xdr:graphicFrame>
      <xdr:nvGraphicFramePr>
        <xdr:cNvPr id="0" name="Chart 1"/>
        <xdr:cNvGraphicFramePr/>
      </xdr:nvGraphicFramePr>
      <xdr:xfrm>
        <a:off x="4687560" y="81900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7" min="5" style="0" width="13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n">
        <v>200</v>
      </c>
    </row>
    <row r="6" customFormat="false" ht="19.5" hidden="false" customHeight="true" outlineLevel="0" collapsed="false">
      <c r="B6" s="4" t="s">
        <v>4</v>
      </c>
      <c r="C6" s="5" t="n">
        <v>40</v>
      </c>
    </row>
    <row r="7" customFormat="false" ht="19.5" hidden="false" customHeight="true" outlineLevel="0" collapsed="false">
      <c r="B7" s="4" t="s">
        <v>5</v>
      </c>
      <c r="C7" s="6" t="n">
        <v>60</v>
      </c>
    </row>
    <row r="8" customFormat="false" ht="19.5" hidden="false" customHeight="true" outlineLevel="0" collapsed="false">
      <c r="B8" s="4" t="s">
        <v>6</v>
      </c>
      <c r="C8" s="6" t="n">
        <v>15</v>
      </c>
    </row>
    <row r="9" customFormat="false" ht="19.5" hidden="false" customHeight="true" outlineLevel="0" collapsed="false">
      <c r="B9" s="4" t="s">
        <v>7</v>
      </c>
      <c r="C9" s="6" t="n">
        <v>0</v>
      </c>
    </row>
    <row r="11" customFormat="false" ht="15" hidden="false" customHeight="false" outlineLevel="0" collapsed="false">
      <c r="B11" s="3" t="s">
        <v>8</v>
      </c>
      <c r="C11" s="3"/>
    </row>
    <row r="12" customFormat="false" ht="15" hidden="false" customHeight="false" outlineLevel="0" collapsed="false">
      <c r="B12" s="7" t="s">
        <v>9</v>
      </c>
      <c r="C12" s="8" t="n">
        <f aca="false">C7-C8</f>
        <v>45</v>
      </c>
    </row>
    <row r="13" customFormat="false" ht="15" hidden="false" customHeight="false" outlineLevel="0" collapsed="false">
      <c r="B13" s="7" t="s">
        <v>10</v>
      </c>
      <c r="C13" s="8" t="n">
        <f aca="false">C8-C9</f>
        <v>15</v>
      </c>
    </row>
    <row r="14" customFormat="false" ht="15" hidden="false" customHeight="false" outlineLevel="0" collapsed="false">
      <c r="B14" s="7" t="s">
        <v>11</v>
      </c>
      <c r="C14" s="9" t="n">
        <f aca="false">C12/(C12+C13)</f>
        <v>0.75</v>
      </c>
    </row>
    <row r="15" customFormat="false" ht="15" hidden="false" customHeight="false" outlineLevel="0" collapsed="false">
      <c r="B15" s="4" t="s">
        <v>12</v>
      </c>
      <c r="C15" s="9" t="n">
        <f aca="false">NORMSINV(C14)</f>
        <v>0.674489750196082</v>
      </c>
    </row>
    <row r="16" customFormat="false" ht="15" hidden="false" customHeight="false" outlineLevel="0" collapsed="false">
      <c r="B16" s="10" t="s">
        <v>13</v>
      </c>
      <c r="C16" s="11" t="n">
        <f aca="false">C5+C15*C6</f>
        <v>226.979590007843</v>
      </c>
    </row>
    <row r="17" customFormat="false" ht="15" hidden="false" customHeight="false" outlineLevel="0" collapsed="false">
      <c r="B17" s="10" t="s">
        <v>14</v>
      </c>
      <c r="C17" s="12" t="n">
        <f aca="false">C7*(C5-C6*(NORMDIST(C15,0,1,FALSE())-C15*(1-NORMDIST(C15,0,1,TRUE()))))-C8*C16+C9*(C16-(C5-C6*(NORMDIST(C15,0,1,FALSE())-C15*(1-NORMDIST(C15,0,1,TRUE())))))</f>
        <v>8237.33622555814</v>
      </c>
    </row>
    <row r="18" customFormat="false" ht="15" hidden="false" customHeight="false" outlineLevel="0" collapsed="false">
      <c r="B18" s="7" t="s">
        <v>15</v>
      </c>
      <c r="C18" s="8" t="n">
        <f aca="false">C7*(C5-C6*(NORMDIST(0,0,1,FALSE())-0))-C8*C5+C9*(C5-(C5-C6*(NORMDIST(0,0,1,FALSE())-0)))</f>
        <v>8042.53852703656</v>
      </c>
    </row>
    <row r="19" customFormat="false" ht="27.75" hidden="false" customHeight="true" outlineLevel="0" collapsed="false">
      <c r="B19" s="13" t="s">
        <v>16</v>
      </c>
      <c r="C19" s="13"/>
    </row>
  </sheetData>
  <mergeCells count="5">
    <mergeCell ref="B1:G1"/>
    <mergeCell ref="B2:G2"/>
    <mergeCell ref="B4:C4"/>
    <mergeCell ref="B11:C11"/>
    <mergeCell ref="B19:C19"/>
  </mergeCells>
  <dataValidations count="1">
    <dataValidation allowBlank="false" error="Enter a value greater than 0." errorStyle="stop" operator="greaterThan" showDropDown="false" showErrorMessage="true" showInputMessage="false" sqref="C5:C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5" hidden="false" customHeight="false" outlineLevel="0" collapsed="false">
      <c r="A1" s="14" t="s">
        <v>17</v>
      </c>
      <c r="B1" s="14" t="s">
        <v>18</v>
      </c>
      <c r="D1" s="15" t="s">
        <v>19</v>
      </c>
      <c r="E1" s="15" t="s">
        <v>20</v>
      </c>
      <c r="F1" s="15" t="s">
        <v>21</v>
      </c>
    </row>
    <row r="2" customFormat="false" ht="15" hidden="false" customHeight="false" outlineLevel="0" collapsed="false">
      <c r="A2" s="16" t="n">
        <f aca="false">Calculator!$C$5+(-3)*Calculator!$C$6</f>
        <v>80</v>
      </c>
      <c r="B2" s="17" t="n">
        <f aca="false">Calculator!$C$7*F2-Calculator!$C$8*A2+Calculator!$C$9*(A2-F2)</f>
        <v>3599.08282963909</v>
      </c>
      <c r="D2" s="18" t="n">
        <f aca="false">(A2-Calculator!$C$5)/Calculator!$C$6</f>
        <v>-3</v>
      </c>
      <c r="E2" s="18" t="n">
        <f aca="false">Calculator!$C$6*(NORMDIST(D2,0,1,FALSE())-D2*(1-NORMDIST(D2,0,1,TRUE())))</f>
        <v>120.015286172682</v>
      </c>
      <c r="F2" s="18" t="n">
        <f aca="false">Calculator!$C$5-E2</f>
        <v>79.9847138273181</v>
      </c>
    </row>
    <row r="3" customFormat="false" ht="15" hidden="false" customHeight="false" outlineLevel="0" collapsed="false">
      <c r="A3" s="16" t="n">
        <f aca="false">Calculator!$C$5+(-2.8)*Calculator!$C$6</f>
        <v>88</v>
      </c>
      <c r="B3" s="17" t="n">
        <f aca="false">Calculator!$C$7*F3-Calculator!$C$8*A3+Calculator!$C$9*(A3-F3)</f>
        <v>3958.17339202132</v>
      </c>
      <c r="D3" s="18" t="n">
        <f aca="false">(A3-Calculator!$C$5)/Calculator!$C$6</f>
        <v>-2.8</v>
      </c>
      <c r="E3" s="18" t="n">
        <f aca="false">Calculator!$C$6*(NORMDIST(D3,0,1,FALSE())-D3*(1-NORMDIST(D3,0,1,TRUE())))</f>
        <v>112.030443466311</v>
      </c>
      <c r="F3" s="18" t="n">
        <f aca="false">Calculator!$C$5-E3</f>
        <v>87.9695565336888</v>
      </c>
    </row>
    <row r="4" customFormat="false" ht="15" hidden="false" customHeight="false" outlineLevel="0" collapsed="false">
      <c r="A4" s="16" t="n">
        <f aca="false">Calculator!$C$5+(-2.6)*Calculator!$C$6</f>
        <v>96</v>
      </c>
      <c r="B4" s="17" t="n">
        <f aca="false">Calculator!$C$7*F4-Calculator!$C$8*A4+Calculator!$C$9*(A4-F4)</f>
        <v>4316.48668710716</v>
      </c>
      <c r="D4" s="18" t="n">
        <f aca="false">(A4-Calculator!$C$5)/Calculator!$C$6</f>
        <v>-2.6</v>
      </c>
      <c r="E4" s="18" t="n">
        <f aca="false">Calculator!$C$6*(NORMDIST(D4,0,1,FALSE())-D4*(1-NORMDIST(D4,0,1,TRUE())))</f>
        <v>104.058555214881</v>
      </c>
      <c r="F4" s="18" t="n">
        <f aca="false">Calculator!$C$5-E4</f>
        <v>95.9414447851193</v>
      </c>
    </row>
    <row r="5" customFormat="false" ht="15" hidden="false" customHeight="false" outlineLevel="0" collapsed="false">
      <c r="A5" s="16" t="n">
        <f aca="false">Calculator!$C$5+(-2.4)*Calculator!$C$6</f>
        <v>104</v>
      </c>
      <c r="B5" s="17" t="n">
        <f aca="false">Calculator!$C$7*F5-Calculator!$C$8*A5+Calculator!$C$9*(A5-F5)</f>
        <v>4673.47093421805</v>
      </c>
      <c r="D5" s="18" t="n">
        <f aca="false">(A5-Calculator!$C$5)/Calculator!$C$6</f>
        <v>-2.4</v>
      </c>
      <c r="E5" s="18" t="n">
        <f aca="false">Calculator!$C$6*(NORMDIST(D5,0,1,FALSE())-D5*(1-NORMDIST(D5,0,1,TRUE())))</f>
        <v>96.1088177630325</v>
      </c>
      <c r="F5" s="18" t="n">
        <f aca="false">Calculator!$C$5-E5</f>
        <v>103.891182236968</v>
      </c>
    </row>
    <row r="6" customFormat="false" ht="15" hidden="false" customHeight="false" outlineLevel="0" collapsed="false">
      <c r="A6" s="16" t="n">
        <f aca="false">Calculator!$C$5+(-2.2)*Calculator!$C$6</f>
        <v>112</v>
      </c>
      <c r="B6" s="17" t="n">
        <f aca="false">Calculator!$C$7*F6-Calculator!$C$8*A6+Calculator!$C$9*(A6-F6)</f>
        <v>5028.27118004032</v>
      </c>
      <c r="D6" s="18" t="n">
        <f aca="false">(A6-Calculator!$C$5)/Calculator!$C$6</f>
        <v>-2.2</v>
      </c>
      <c r="E6" s="18" t="n">
        <f aca="false">Calculator!$C$6*(NORMDIST(D6,0,1,FALSE())-D6*(1-NORMDIST(D6,0,1,TRUE())))</f>
        <v>88.1954803326614</v>
      </c>
      <c r="F6" s="18" t="n">
        <f aca="false">Calculator!$C$5-E6</f>
        <v>111.804519667339</v>
      </c>
    </row>
    <row r="7" customFormat="false" ht="15" hidden="false" customHeight="false" outlineLevel="0" collapsed="false">
      <c r="A7" s="16" t="n">
        <f aca="false">Calculator!$C$5+(-2)*Calculator!$C$6</f>
        <v>120</v>
      </c>
      <c r="B7" s="17" t="n">
        <f aca="false">Calculator!$C$7*F7-Calculator!$C$8*A7+Calculator!$C$9*(A7-F7)</f>
        <v>5379.62231371961</v>
      </c>
      <c r="D7" s="18" t="n">
        <f aca="false">(A7-Calculator!$C$5)/Calculator!$C$6</f>
        <v>-2</v>
      </c>
      <c r="E7" s="18" t="n">
        <f aca="false">Calculator!$C$6*(NORMDIST(D7,0,1,FALSE())-D7*(1-NORMDIST(D7,0,1,TRUE())))</f>
        <v>80.3396281046732</v>
      </c>
      <c r="F7" s="18" t="n">
        <f aca="false">Calculator!$C$5-E7</f>
        <v>119.660371895327</v>
      </c>
    </row>
    <row r="8" customFormat="false" ht="15" hidden="false" customHeight="false" outlineLevel="0" collapsed="false">
      <c r="A8" s="16" t="n">
        <f aca="false">Calculator!$C$5+(-1.8)*Calculator!$C$6</f>
        <v>128</v>
      </c>
      <c r="B8" s="17" t="n">
        <f aca="false">Calculator!$C$7*F8-Calculator!$C$8*A8+Calculator!$C$9*(A8-F8)</f>
        <v>5725.73859864569</v>
      </c>
      <c r="D8" s="18" t="n">
        <f aca="false">(A8-Calculator!$C$5)/Calculator!$C$6</f>
        <v>-1.8</v>
      </c>
      <c r="E8" s="18" t="n">
        <f aca="false">Calculator!$C$6*(NORMDIST(D8,0,1,FALSE())-D8*(1-NORMDIST(D8,0,1,TRUE())))</f>
        <v>72.5710233559051</v>
      </c>
      <c r="F8" s="18" t="n">
        <f aca="false">Calculator!$C$5-E8</f>
        <v>127.428976644095</v>
      </c>
    </row>
    <row r="9" customFormat="false" ht="15" hidden="false" customHeight="false" outlineLevel="0" collapsed="false">
      <c r="A9" s="16" t="n">
        <f aca="false">Calculator!$C$5+(-1.6)*Calculator!$C$6</f>
        <v>136</v>
      </c>
      <c r="B9" s="17" t="n">
        <f aca="false">Calculator!$C$7*F9-Calculator!$C$8*A9+Calculator!$C$9*(A9-F9)</f>
        <v>6064.21927689561</v>
      </c>
      <c r="D9" s="18" t="n">
        <f aca="false">(A9-Calculator!$C$5)/Calculator!$C$6</f>
        <v>-1.6</v>
      </c>
      <c r="E9" s="18" t="n">
        <f aca="false">Calculator!$C$6*(NORMDIST(D9,0,1,FALSE())-D9*(1-NORMDIST(D9,0,1,TRUE())))</f>
        <v>64.9296787184065</v>
      </c>
      <c r="F9" s="18" t="n">
        <f aca="false">Calculator!$C$5-E9</f>
        <v>135.070321281594</v>
      </c>
    </row>
    <row r="10" customFormat="false" ht="15" hidden="false" customHeight="false" outlineLevel="0" collapsed="false">
      <c r="A10" s="16" t="n">
        <f aca="false">Calculator!$C$5+(-1.4)*Calculator!$C$6</f>
        <v>144</v>
      </c>
      <c r="B10" s="17" t="n">
        <f aca="false">Calculator!$C$7*F10-Calculator!$C$8*A10+Calculator!$C$9*(A10-F10)</f>
        <v>6391.99645749968</v>
      </c>
      <c r="D10" s="18" t="n">
        <f aca="false">(A10-Calculator!$C$5)/Calculator!$C$6</f>
        <v>-1.4</v>
      </c>
      <c r="E10" s="18" t="n">
        <f aca="false">Calculator!$C$6*(NORMDIST(D10,0,1,FALSE())-D10*(1-NORMDIST(D10,0,1,TRUE())))</f>
        <v>57.4667257083386</v>
      </c>
      <c r="F10" s="18" t="n">
        <f aca="false">Calculator!$C$5-E10</f>
        <v>142.533274291661</v>
      </c>
    </row>
    <row r="11" customFormat="false" ht="15" hidden="false" customHeight="false" outlineLevel="0" collapsed="false">
      <c r="A11" s="16" t="n">
        <f aca="false">Calculator!$C$5+(-1.2)*Calculator!$C$6</f>
        <v>152</v>
      </c>
      <c r="B11" s="17" t="n">
        <f aca="false">Calculator!$C$7*F11-Calculator!$C$8*A11+Calculator!$C$9*(A11-F11)</f>
        <v>6705.35411827881</v>
      </c>
      <c r="D11" s="18" t="n">
        <f aca="false">(A11-Calculator!$C$5)/Calculator!$C$6</f>
        <v>-1.2</v>
      </c>
      <c r="E11" s="18" t="n">
        <f aca="false">Calculator!$C$6*(NORMDIST(D11,0,1,FALSE())-D11*(1-NORMDIST(D11,0,1,TRUE())))</f>
        <v>50.2440980286865</v>
      </c>
      <c r="F11" s="18" t="n">
        <f aca="false">Calculator!$C$5-E11</f>
        <v>149.755901971313</v>
      </c>
    </row>
    <row r="12" customFormat="false" ht="15" hidden="false" customHeight="false" outlineLevel="0" collapsed="false">
      <c r="A12" s="16" t="n">
        <f aca="false">Calculator!$C$5+(-1)*Calculator!$C$6</f>
        <v>160</v>
      </c>
      <c r="B12" s="17" t="n">
        <f aca="false">Calculator!$C$7*F12-Calculator!$C$8*A12+Calculator!$C$9*(A12-F12)</f>
        <v>7000.04287058955</v>
      </c>
      <c r="D12" s="18" t="n">
        <f aca="false">(A12-Calculator!$C$5)/Calculator!$C$6</f>
        <v>-1</v>
      </c>
      <c r="E12" s="18" t="n">
        <f aca="false">Calculator!$C$6*(NORMDIST(D12,0,1,FALSE())-D12*(1-NORMDIST(D12,0,1,TRUE())))</f>
        <v>43.3326188235075</v>
      </c>
      <c r="F12" s="18" t="n">
        <f aca="false">Calculator!$C$5-E12</f>
        <v>156.667381176493</v>
      </c>
    </row>
    <row r="13" customFormat="false" ht="15" hidden="false" customHeight="false" outlineLevel="0" collapsed="false">
      <c r="A13" s="16" t="n">
        <f aca="false">Calculator!$C$5+(-0.8)*Calculator!$C$6</f>
        <v>168</v>
      </c>
      <c r="B13" s="17" t="n">
        <f aca="false">Calculator!$C$7*F13-Calculator!$C$8*A13+Calculator!$C$9*(A13-F13)</f>
        <v>7271.50263865256</v>
      </c>
      <c r="D13" s="18" t="n">
        <f aca="false">(A13-Calculator!$C$5)/Calculator!$C$6</f>
        <v>-0.8</v>
      </c>
      <c r="E13" s="18" t="n">
        <f aca="false">Calculator!$C$6*(NORMDIST(D13,0,1,FALSE())-D13*(1-NORMDIST(D13,0,1,TRUE())))</f>
        <v>36.8082893557906</v>
      </c>
      <c r="F13" s="18" t="n">
        <f aca="false">Calculator!$C$5-E13</f>
        <v>163.191710644209</v>
      </c>
    </row>
    <row r="14" customFormat="false" ht="15" hidden="false" customHeight="false" outlineLevel="0" collapsed="false">
      <c r="A14" s="16" t="n">
        <f aca="false">Calculator!$C$5+(-0.6)*Calculator!$C$6</f>
        <v>176</v>
      </c>
      <c r="B14" s="17" t="n">
        <f aca="false">Calculator!$C$7*F14-Calculator!$C$8*A14+Calculator!$C$9*(A14-F14)</f>
        <v>7515.18544261979</v>
      </c>
      <c r="D14" s="18" t="n">
        <f aca="false">(A14-Calculator!$C$5)/Calculator!$C$6</f>
        <v>-0.6</v>
      </c>
      <c r="E14" s="18" t="n">
        <f aca="false">Calculator!$C$6*(NORMDIST(D14,0,1,FALSE())-D14*(1-NORMDIST(D14,0,1,TRUE())))</f>
        <v>30.7469092896702</v>
      </c>
      <c r="F14" s="18" t="n">
        <f aca="false">Calculator!$C$5-E14</f>
        <v>169.25309071033</v>
      </c>
    </row>
    <row r="15" customFormat="false" ht="15" hidden="false" customHeight="false" outlineLevel="0" collapsed="false">
      <c r="A15" s="16" t="n">
        <f aca="false">Calculator!$C$5+(-0.4)*Calculator!$C$6</f>
        <v>184</v>
      </c>
      <c r="B15" s="17" t="n">
        <f aca="false">Calculator!$C$7*F15-Calculator!$C$8*A15+Calculator!$C$9*(A15-F15)</f>
        <v>7726.94679132611</v>
      </c>
      <c r="D15" s="18" t="n">
        <f aca="false">(A15-Calculator!$C$5)/Calculator!$C$6</f>
        <v>-0.4</v>
      </c>
      <c r="E15" s="18" t="n">
        <f aca="false">Calculator!$C$6*(NORMDIST(D15,0,1,FALSE())-D15*(1-NORMDIST(D15,0,1,TRUE())))</f>
        <v>25.2175534778981</v>
      </c>
      <c r="F15" s="18" t="n">
        <f aca="false">Calculator!$C$5-E15</f>
        <v>174.782446522102</v>
      </c>
    </row>
    <row r="16" customFormat="false" ht="15" hidden="false" customHeight="false" outlineLevel="0" collapsed="false">
      <c r="A16" s="16" t="n">
        <f aca="false">Calculator!$C$5+(-0.2)*Calculator!$C$6</f>
        <v>192</v>
      </c>
      <c r="B16" s="17" t="n">
        <f aca="false">Calculator!$C$7*F16-Calculator!$C$8*A16+Calculator!$C$9*(A16-F16)</f>
        <v>7903.45287392814</v>
      </c>
      <c r="D16" s="18" t="n">
        <f aca="false">(A16-Calculator!$C$5)/Calculator!$C$6</f>
        <v>-0.2</v>
      </c>
      <c r="E16" s="18" t="n">
        <f aca="false">Calculator!$C$6*(NORMDIST(D16,0,1,FALSE())-D16*(1-NORMDIST(D16,0,1,TRUE())))</f>
        <v>20.2757854345311</v>
      </c>
      <c r="F16" s="18" t="n">
        <f aca="false">Calculator!$C$5-E16</f>
        <v>179.724214565469</v>
      </c>
    </row>
    <row r="17" customFormat="false" ht="15" hidden="false" customHeight="false" outlineLevel="0" collapsed="false">
      <c r="A17" s="16" t="n">
        <f aca="false">Calculator!$C$5+(0)*Calculator!$C$6</f>
        <v>200</v>
      </c>
      <c r="B17" s="17" t="n">
        <f aca="false">Calculator!$C$7*F17-Calculator!$C$8*A17+Calculator!$C$9*(A17-F17)</f>
        <v>8042.53852703656</v>
      </c>
      <c r="D17" s="18" t="n">
        <f aca="false">(A17-Calculator!$C$5)/Calculator!$C$6</f>
        <v>0</v>
      </c>
      <c r="E17" s="18" t="n">
        <f aca="false">Calculator!$C$6*(NORMDIST(D17,0,1,FALSE())-D17*(1-NORMDIST(D17,0,1,TRUE())))</f>
        <v>15.9576912160573</v>
      </c>
      <c r="F17" s="18" t="n">
        <f aca="false">Calculator!$C$5-E17</f>
        <v>184.042308783943</v>
      </c>
    </row>
    <row r="18" customFormat="false" ht="15" hidden="false" customHeight="false" outlineLevel="0" collapsed="false">
      <c r="A18" s="16" t="n">
        <f aca="false">Calculator!$C$5+(0.2)*Calculator!$C$6</f>
        <v>208</v>
      </c>
      <c r="B18" s="17" t="n">
        <f aca="false">Calculator!$C$7*F18-Calculator!$C$8*A18+Calculator!$C$9*(A18-F18)</f>
        <v>8143.45287392814</v>
      </c>
      <c r="D18" s="18" t="n">
        <f aca="false">(A18-Calculator!$C$5)/Calculator!$C$6</f>
        <v>0.2</v>
      </c>
      <c r="E18" s="18" t="n">
        <f aca="false">Calculator!$C$6*(NORMDIST(D18,0,1,FALSE())-D18*(1-NORMDIST(D18,0,1,TRUE())))</f>
        <v>12.2757854345311</v>
      </c>
      <c r="F18" s="18" t="n">
        <f aca="false">Calculator!$C$5-E18</f>
        <v>187.724214565469</v>
      </c>
    </row>
    <row r="19" customFormat="false" ht="15" hidden="false" customHeight="false" outlineLevel="0" collapsed="false">
      <c r="A19" s="16" t="n">
        <f aca="false">Calculator!$C$5+(0.4)*Calculator!$C$6</f>
        <v>216</v>
      </c>
      <c r="B19" s="17" t="n">
        <f aca="false">Calculator!$C$7*F19-Calculator!$C$8*A19+Calculator!$C$9*(A19-F19)</f>
        <v>8206.94679132611</v>
      </c>
      <c r="D19" s="18" t="n">
        <f aca="false">(A19-Calculator!$C$5)/Calculator!$C$6</f>
        <v>0.4</v>
      </c>
      <c r="E19" s="18" t="n">
        <f aca="false">Calculator!$C$6*(NORMDIST(D19,0,1,FALSE())-D19*(1-NORMDIST(D19,0,1,TRUE())))</f>
        <v>9.21755347789812</v>
      </c>
      <c r="F19" s="18" t="n">
        <f aca="false">Calculator!$C$5-E19</f>
        <v>190.782446522102</v>
      </c>
    </row>
    <row r="20" customFormat="false" ht="15" hidden="false" customHeight="false" outlineLevel="0" collapsed="false">
      <c r="A20" s="16" t="n">
        <f aca="false">Calculator!$C$5+(0.6)*Calculator!$C$6</f>
        <v>224</v>
      </c>
      <c r="B20" s="17" t="n">
        <f aca="false">Calculator!$C$7*F20-Calculator!$C$8*A20+Calculator!$C$9*(A20-F20)</f>
        <v>8235.18544261979</v>
      </c>
      <c r="D20" s="18" t="n">
        <f aca="false">(A20-Calculator!$C$5)/Calculator!$C$6</f>
        <v>0.6</v>
      </c>
      <c r="E20" s="18" t="n">
        <f aca="false">Calculator!$C$6*(NORMDIST(D20,0,1,FALSE())-D20*(1-NORMDIST(D20,0,1,TRUE())))</f>
        <v>6.74690928967022</v>
      </c>
      <c r="F20" s="18" t="n">
        <f aca="false">Calculator!$C$5-E20</f>
        <v>193.25309071033</v>
      </c>
    </row>
    <row r="21" customFormat="false" ht="15" hidden="false" customHeight="false" outlineLevel="0" collapsed="false">
      <c r="A21" s="16" t="n">
        <f aca="false">Calculator!$C$5+(0.8)*Calculator!$C$6</f>
        <v>232</v>
      </c>
      <c r="B21" s="17" t="n">
        <f aca="false">Calculator!$C$7*F21-Calculator!$C$8*A21+Calculator!$C$9*(A21-F21)</f>
        <v>8231.50263865256</v>
      </c>
      <c r="D21" s="18" t="n">
        <f aca="false">(A21-Calculator!$C$5)/Calculator!$C$6</f>
        <v>0.8</v>
      </c>
      <c r="E21" s="18" t="n">
        <f aca="false">Calculator!$C$6*(NORMDIST(D21,0,1,FALSE())-D21*(1-NORMDIST(D21,0,1,TRUE())))</f>
        <v>4.80828935579062</v>
      </c>
      <c r="F21" s="18" t="n">
        <f aca="false">Calculator!$C$5-E21</f>
        <v>195.191710644209</v>
      </c>
    </row>
    <row r="22" customFormat="false" ht="15" hidden="false" customHeight="false" outlineLevel="0" collapsed="false">
      <c r="A22" s="16" t="n">
        <f aca="false">Calculator!$C$5+(1)*Calculator!$C$6</f>
        <v>240</v>
      </c>
      <c r="B22" s="17" t="n">
        <f aca="false">Calculator!$C$7*F22-Calculator!$C$8*A22+Calculator!$C$9*(A22-F22)</f>
        <v>8200.04287058955</v>
      </c>
      <c r="D22" s="18" t="n">
        <f aca="false">(A22-Calculator!$C$5)/Calculator!$C$6</f>
        <v>1</v>
      </c>
      <c r="E22" s="18" t="n">
        <f aca="false">Calculator!$C$6*(NORMDIST(D22,0,1,FALSE())-D22*(1-NORMDIST(D22,0,1,TRUE())))</f>
        <v>3.33261882350746</v>
      </c>
      <c r="F22" s="18" t="n">
        <f aca="false">Calculator!$C$5-E22</f>
        <v>196.667381176493</v>
      </c>
    </row>
    <row r="23" customFormat="false" ht="15" hidden="false" customHeight="false" outlineLevel="0" collapsed="false">
      <c r="A23" s="16" t="n">
        <f aca="false">Calculator!$C$5+(1.2)*Calculator!$C$6</f>
        <v>248</v>
      </c>
      <c r="B23" s="17" t="n">
        <f aca="false">Calculator!$C$7*F23-Calculator!$C$8*A23+Calculator!$C$9*(A23-F23)</f>
        <v>8145.35411827881</v>
      </c>
      <c r="D23" s="18" t="n">
        <f aca="false">(A23-Calculator!$C$5)/Calculator!$C$6</f>
        <v>1.2</v>
      </c>
      <c r="E23" s="18" t="n">
        <f aca="false">Calculator!$C$6*(NORMDIST(D23,0,1,FALSE())-D23*(1-NORMDIST(D23,0,1,TRUE())))</f>
        <v>2.24409802868652</v>
      </c>
      <c r="F23" s="18" t="n">
        <f aca="false">Calculator!$C$5-E23</f>
        <v>197.755901971313</v>
      </c>
    </row>
    <row r="24" customFormat="false" ht="15" hidden="false" customHeight="false" outlineLevel="0" collapsed="false">
      <c r="A24" s="16" t="n">
        <f aca="false">Calculator!$C$5+(1.4)*Calculator!$C$6</f>
        <v>256</v>
      </c>
      <c r="B24" s="17" t="n">
        <f aca="false">Calculator!$C$7*F24-Calculator!$C$8*A24+Calculator!$C$9*(A24-F24)</f>
        <v>8071.99645749968</v>
      </c>
      <c r="D24" s="18" t="n">
        <f aca="false">(A24-Calculator!$C$5)/Calculator!$C$6</f>
        <v>1.4</v>
      </c>
      <c r="E24" s="18" t="n">
        <f aca="false">Calculator!$C$6*(NORMDIST(D24,0,1,FALSE())-D24*(1-NORMDIST(D24,0,1,TRUE())))</f>
        <v>1.46672570833862</v>
      </c>
      <c r="F24" s="18" t="n">
        <f aca="false">Calculator!$C$5-E24</f>
        <v>198.533274291661</v>
      </c>
    </row>
    <row r="25" customFormat="false" ht="15" hidden="false" customHeight="false" outlineLevel="0" collapsed="false">
      <c r="A25" s="16" t="n">
        <f aca="false">Calculator!$C$5+(1.6)*Calculator!$C$6</f>
        <v>264</v>
      </c>
      <c r="B25" s="17" t="n">
        <f aca="false">Calculator!$C$7*F25-Calculator!$C$8*A25+Calculator!$C$9*(A25-F25)</f>
        <v>7984.21927689561</v>
      </c>
      <c r="D25" s="18" t="n">
        <f aca="false">(A25-Calculator!$C$5)/Calculator!$C$6</f>
        <v>1.6</v>
      </c>
      <c r="E25" s="18" t="n">
        <f aca="false">Calculator!$C$6*(NORMDIST(D25,0,1,FALSE())-D25*(1-NORMDIST(D25,0,1,TRUE())))</f>
        <v>0.92967871840651</v>
      </c>
      <c r="F25" s="18" t="n">
        <f aca="false">Calculator!$C$5-E25</f>
        <v>199.070321281594</v>
      </c>
    </row>
    <row r="26" customFormat="false" ht="15" hidden="false" customHeight="false" outlineLevel="0" collapsed="false">
      <c r="A26" s="16" t="n">
        <f aca="false">Calculator!$C$5+(1.8)*Calculator!$C$6</f>
        <v>272</v>
      </c>
      <c r="B26" s="17" t="n">
        <f aca="false">Calculator!$C$7*F26-Calculator!$C$8*A26+Calculator!$C$9*(A26-F26)</f>
        <v>7885.73859864569</v>
      </c>
      <c r="D26" s="18" t="n">
        <f aca="false">(A26-Calculator!$C$5)/Calculator!$C$6</f>
        <v>1.8</v>
      </c>
      <c r="E26" s="18" t="n">
        <f aca="false">Calculator!$C$6*(NORMDIST(D26,0,1,FALSE())-D26*(1-NORMDIST(D26,0,1,TRUE())))</f>
        <v>0.57102335590511</v>
      </c>
      <c r="F26" s="18" t="n">
        <f aca="false">Calculator!$C$5-E26</f>
        <v>199.428976644095</v>
      </c>
    </row>
    <row r="27" customFormat="false" ht="15" hidden="false" customHeight="false" outlineLevel="0" collapsed="false">
      <c r="A27" s="16" t="n">
        <f aca="false">Calculator!$C$5+(2)*Calculator!$C$6</f>
        <v>280</v>
      </c>
      <c r="B27" s="17" t="n">
        <f aca="false">Calculator!$C$7*F27-Calculator!$C$8*A27+Calculator!$C$9*(A27-F27)</f>
        <v>7779.62231371961</v>
      </c>
      <c r="D27" s="18" t="n">
        <f aca="false">(A27-Calculator!$C$5)/Calculator!$C$6</f>
        <v>2</v>
      </c>
      <c r="E27" s="18" t="n">
        <f aca="false">Calculator!$C$6*(NORMDIST(D27,0,1,FALSE())-D27*(1-NORMDIST(D27,0,1,TRUE())))</f>
        <v>0.339628104673186</v>
      </c>
      <c r="F27" s="18" t="n">
        <f aca="false">Calculator!$C$5-E27</f>
        <v>199.660371895327</v>
      </c>
    </row>
    <row r="28" customFormat="false" ht="15" hidden="false" customHeight="false" outlineLevel="0" collapsed="false">
      <c r="A28" s="16" t="n">
        <f aca="false">Calculator!$C$5+(2.2)*Calculator!$C$6</f>
        <v>288</v>
      </c>
      <c r="B28" s="17" t="n">
        <f aca="false">Calculator!$C$7*F28-Calculator!$C$8*A28+Calculator!$C$9*(A28-F28)</f>
        <v>7668.27118004032</v>
      </c>
      <c r="D28" s="18" t="n">
        <f aca="false">(A28-Calculator!$C$5)/Calculator!$C$6</f>
        <v>2.2</v>
      </c>
      <c r="E28" s="18" t="n">
        <f aca="false">Calculator!$C$6*(NORMDIST(D28,0,1,FALSE())-D28*(1-NORMDIST(D28,0,1,TRUE())))</f>
        <v>0.195480332661381</v>
      </c>
      <c r="F28" s="18" t="n">
        <f aca="false">Calculator!$C$5-E28</f>
        <v>199.804519667339</v>
      </c>
    </row>
    <row r="29" customFormat="false" ht="15" hidden="false" customHeight="false" outlineLevel="0" collapsed="false">
      <c r="A29" s="16" t="n">
        <f aca="false">Calculator!$C$5+(2.4)*Calculator!$C$6</f>
        <v>296</v>
      </c>
      <c r="B29" s="17" t="n">
        <f aca="false">Calculator!$C$7*F29-Calculator!$C$8*A29+Calculator!$C$9*(A29-F29)</f>
        <v>7553.47093421805</v>
      </c>
      <c r="D29" s="18" t="n">
        <f aca="false">(A29-Calculator!$C$5)/Calculator!$C$6</f>
        <v>2.4</v>
      </c>
      <c r="E29" s="18" t="n">
        <f aca="false">Calculator!$C$6*(NORMDIST(D29,0,1,FALSE())-D29*(1-NORMDIST(D29,0,1,TRUE())))</f>
        <v>0.108817763032485</v>
      </c>
      <c r="F29" s="18" t="n">
        <f aca="false">Calculator!$C$5-E29</f>
        <v>199.891182236968</v>
      </c>
    </row>
    <row r="30" customFormat="false" ht="15" hidden="false" customHeight="false" outlineLevel="0" collapsed="false">
      <c r="A30" s="16" t="n">
        <f aca="false">Calculator!$C$5+(2.6)*Calculator!$C$6</f>
        <v>304</v>
      </c>
      <c r="B30" s="17" t="n">
        <f aca="false">Calculator!$C$7*F30-Calculator!$C$8*A30+Calculator!$C$9*(A30-F30)</f>
        <v>7436.48668710716</v>
      </c>
      <c r="D30" s="18" t="n">
        <f aca="false">(A30-Calculator!$C$5)/Calculator!$C$6</f>
        <v>2.6</v>
      </c>
      <c r="E30" s="18" t="n">
        <f aca="false">Calculator!$C$6*(NORMDIST(D30,0,1,FALSE())-D30*(1-NORMDIST(D30,0,1,TRUE())))</f>
        <v>0.0585552148806764</v>
      </c>
      <c r="F30" s="18" t="n">
        <f aca="false">Calculator!$C$5-E30</f>
        <v>199.941444785119</v>
      </c>
    </row>
    <row r="31" customFormat="false" ht="15" hidden="false" customHeight="false" outlineLevel="0" collapsed="false">
      <c r="A31" s="16" t="n">
        <f aca="false">Calculator!$C$5+(2.8)*Calculator!$C$6</f>
        <v>312</v>
      </c>
      <c r="B31" s="17" t="n">
        <f aca="false">Calculator!$C$7*F31-Calculator!$C$8*A31+Calculator!$C$9*(A31-F31)</f>
        <v>7318.17339202133</v>
      </c>
      <c r="D31" s="18" t="n">
        <f aca="false">(A31-Calculator!$C$5)/Calculator!$C$6</f>
        <v>2.8</v>
      </c>
      <c r="E31" s="18" t="n">
        <f aca="false">Calculator!$C$6*(NORMDIST(D31,0,1,FALSE())-D31*(1-NORMDIST(D31,0,1,TRUE())))</f>
        <v>0.0304434663112651</v>
      </c>
      <c r="F31" s="18" t="n">
        <f aca="false">Calculator!$C$5-E31</f>
        <v>199.969556533689</v>
      </c>
    </row>
    <row r="32" customFormat="false" ht="15" hidden="false" customHeight="false" outlineLevel="0" collapsed="false">
      <c r="A32" s="16" t="n">
        <f aca="false">Calculator!$C$5+(3)*Calculator!$C$6</f>
        <v>320</v>
      </c>
      <c r="B32" s="17" t="n">
        <f aca="false">Calculator!$C$7*F32-Calculator!$C$8*A32+Calculator!$C$9*(A32-F32)</f>
        <v>7199.08282963909</v>
      </c>
      <c r="D32" s="18" t="n">
        <f aca="false">(A32-Calculator!$C$5)/Calculator!$C$6</f>
        <v>3</v>
      </c>
      <c r="E32" s="18" t="n">
        <f aca="false">Calculator!$C$6*(NORMDIST(D32,0,1,FALSE())-D32*(1-NORMDIST(D32,0,1,TRUE())))</f>
        <v>0.0152861726819079</v>
      </c>
      <c r="F32" s="18" t="n">
        <f aca="false">Calculator!$C$5-E32</f>
        <v>199.984713827318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2026-07-02T22:58:40Z</dcterms:created>
  <dc:creator>openpyxl</dc:creator>
  <dc:description/>
  <dc:language>en-US</dc:language>
  <cp:lastModifiedBy/>
  <dcterms:modified xsi:type="dcterms:W3CDTF">2026-07-02T22:58:42Z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