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ulator" sheetId="1" state="visible" r:id="rId3"/>
    <sheet name="Chart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<sst xmlns="http://schemas.openxmlformats.org/spreadsheetml/2006/main" count="14" uniqueCount="14">
  <si>
    <t xml:space="preserve">Decision 4  —  The Sequential Hire</t>
  </si>
  <si>
    <t xml:space="preserve">Candidates are seen one at a time in random order, and an offer must be made or refused on the spot with no recall. The tool finds how many to screen first before taking the next record-setter.</t>
  </si>
  <si>
    <t xml:space="preserve">INPUT  —  change this</t>
  </si>
  <si>
    <t xml:space="preserve">Number of candidates (2 to 100)</t>
  </si>
  <si>
    <t xml:space="preserve">RESULTS  —  calculated</t>
  </si>
  <si>
    <t xml:space="preserve">Best number to screen first, r*</t>
  </si>
  <si>
    <t xml:space="preserve">Chance of hiring the very best candidate</t>
  </si>
  <si>
    <t xml:space="preserve">As a fraction of the pool, r*/n</t>
  </si>
  <si>
    <t xml:space="preserve">1 / e, the large-pool ideal for both numbers</t>
  </si>
  <si>
    <t xml:space="preserve">Screen and reject the first r* candidates, then hire the next one who beats everyone seen so far. As the pool grows, r*/n and the success rate both approach 1/e.</t>
  </si>
  <si>
    <t xml:space="preserve">r</t>
  </si>
  <si>
    <t xml:space="preserve">r / n</t>
  </si>
  <si>
    <t xml:space="preserve">P(hire best)</t>
  </si>
  <si>
    <t xml:space="preserve">j</t>
  </si>
</sst>
</file>

<file path=xl/styles.xml><?xml version="1.0" encoding="utf-8"?>
<styleSheet xmlns="http://schemas.openxmlformats.org/spreadsheetml/2006/main">
  <numFmts count="4">
    <numFmt numFmtId="164" formatCode="General"/>
    <numFmt numFmtId="165" formatCode="0"/>
    <numFmt numFmtId="166" formatCode="0.000"/>
    <numFmt numFmtId="167" formatCode="0.00"/>
  </numFmts>
  <fonts count="2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B6B7B"/>
      <name val="Arial"/>
      <family val="0"/>
      <charset val="1"/>
    </font>
    <font>
      <b val="true"/>
      <sz val="10"/>
      <color rgb="FFFFFFFF"/>
      <name val="Arial"/>
      <family val="0"/>
      <charset val="1"/>
    </font>
    <font>
      <sz val="10"/>
      <color rgb="FF1A2230"/>
      <name val="Arial"/>
      <family val="0"/>
      <charset val="1"/>
    </font>
    <font>
      <b val="true"/>
      <sz val="11"/>
      <color rgb="FF0000FF"/>
      <name val="Arial"/>
      <family val="0"/>
      <charset val="1"/>
    </font>
    <font>
      <b val="true"/>
      <sz val="10"/>
      <color rgb="FF1A2230"/>
      <name val="Arial"/>
      <family val="0"/>
      <charset val="1"/>
    </font>
    <font>
      <b val="true"/>
      <sz val="12"/>
      <color rgb="FF041E42"/>
      <name val="Arial"/>
      <family val="0"/>
      <charset val="1"/>
    </font>
    <font>
      <b val="true"/>
      <sz val="11"/>
      <color rgb="FF1A2230"/>
      <name val="Arial"/>
      <family val="0"/>
      <charset val="1"/>
    </font>
    <font>
      <sz val="11"/>
      <color rgb="FF1A2230"/>
      <name val="Arial"/>
      <family val="0"/>
      <charset val="1"/>
    </font>
    <font>
      <i val="true"/>
      <sz val="8.5"/>
      <color rgb="FF5B6B7B"/>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41E42"/>
      <name val="Arial"/>
      <family val="0"/>
      <charset val="1"/>
    </font>
    <font>
      <b val="true"/>
      <sz val="9"/>
      <color rgb="FF5B6B7B"/>
      <name val="Arial"/>
      <family val="0"/>
      <charset val="1"/>
    </font>
    <font>
      <sz val="9"/>
      <color rgb="FF008000"/>
      <name val="Arial"/>
      <family val="0"/>
      <charset val="1"/>
    </font>
    <font>
      <sz val="8"/>
      <color rgb="FF5B6B7B"/>
      <name val="Arial"/>
      <family val="0"/>
      <charset val="1"/>
    </font>
  </fonts>
  <fills count="5">
    <fill>
      <patternFill patternType="none"/>
    </fill>
    <fill>
      <patternFill patternType="gray125"/>
    </fill>
    <fill>
      <patternFill patternType="solid">
        <fgColor rgb="FF041E42"/>
        <bgColor rgb="FF1A2230"/>
      </patternFill>
    </fill>
    <fill>
      <patternFill patternType="solid">
        <fgColor rgb="FFFFF3C4"/>
        <bgColor rgb="FFFFFF99"/>
      </patternFill>
    </fill>
    <fill>
      <patternFill patternType="solid">
        <fgColor rgb="FFE8D8AA"/>
        <bgColor rgb="FFD9D9D9"/>
      </patternFill>
    </fill>
  </fills>
  <borders count="2">
    <border diagonalUp="false" diagonalDown="false">
      <left/>
      <right/>
      <top/>
      <bottom/>
      <diagonal/>
    </border>
    <border diagonalUp="false" diagonalDown="false">
      <left style="thin">
        <color rgb="FFC9C2B2"/>
      </left>
      <right style="thin">
        <color rgb="FFC9C2B2"/>
      </right>
      <top style="thin">
        <color rgb="FFC9C2B2"/>
      </top>
      <bottom style="thin">
        <color rgb="FFC9C2B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2B2"/>
      <rgbColor rgb="FF878787"/>
      <rgbColor rgb="FF9999FF"/>
      <rgbColor rgb="FF993366"/>
      <rgbColor rgb="FFFFF3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8D8AA"/>
      <rgbColor rgb="FF3366FF"/>
      <rgbColor rgb="FF33CCCC"/>
      <rgbColor rgb="FF99CC00"/>
      <rgbColor rgb="FFFFCC00"/>
      <rgbColor rgb="FFFF9900"/>
      <rgbColor rgb="FFFF6600"/>
      <rgbColor rgb="FF5B6B7B"/>
      <rgbColor rgb="FF969696"/>
      <rgbColor rgb="FF041E42"/>
      <rgbColor rgb="FF339966"/>
      <rgbColor rgb="FF003300"/>
      <rgbColor rgb="FF333300"/>
      <rgbColor rgb="FF993300"/>
      <rgbColor rgb="FF993366"/>
      <rgbColor rgb="FF333399"/>
      <rgbColor rgb="FF1A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Chance of hiring the best candidate against how many you screen first</a:t>
            </a:r>
          </a:p>
        </c:rich>
      </c:tx>
      <c:overlay val="0"/>
      <c:spPr>
        <a:noFill/>
        <a:ln w="0">
          <a:noFill/>
        </a:ln>
      </c:spPr>
    </c:title>
    <c:autoTitleDeleted val="0"/>
    <c:plotArea>
      <c:lineChart>
        <c:grouping val="standard"/>
        <c:varyColors val="0"/>
        <c:ser>
          <c:idx val="0"/>
          <c:order val="0"/>
          <c:tx>
            <c:strRef>
              <c:f>ChartData!C1</c:f>
              <c:strCache>
                <c:ptCount val="1"/>
                <c:pt idx="0">
                  <c:v>P(hire best)</c:v>
                </c:pt>
              </c:strCache>
            </c:strRef>
          </c:tx>
          <c:spPr>
            <a:solidFill>
              <a:srgbClr val="041e42"/>
            </a:solidFill>
            <a:ln w="28440">
              <a:solidFill>
                <a:srgbClr val="041e4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ChartData!$B$2:$B$101</c:f>
              <c:strCache>
                <c:ptCount val="100"/>
                <c:pt idx="0">
                  <c:v>0.00</c:v>
                </c:pt>
                <c:pt idx="1">
                  <c:v>0.02</c:v>
                </c:pt>
                <c:pt idx="2">
                  <c:v>0.04</c:v>
                </c:pt>
                <c:pt idx="3">
                  <c:v>0.06</c:v>
                </c:pt>
                <c:pt idx="4">
                  <c:v>0.08</c:v>
                </c:pt>
                <c:pt idx="5">
                  <c:v>0.10</c:v>
                </c:pt>
                <c:pt idx="6">
                  <c:v>0.12</c:v>
                </c:pt>
                <c:pt idx="7">
                  <c:v>0.14</c:v>
                </c:pt>
                <c:pt idx="8">
                  <c:v>0.16</c:v>
                </c:pt>
                <c:pt idx="9">
                  <c:v>0.18</c:v>
                </c:pt>
                <c:pt idx="10">
                  <c:v>0.20</c:v>
                </c:pt>
                <c:pt idx="11">
                  <c:v>0.22</c:v>
                </c:pt>
                <c:pt idx="12">
                  <c:v>0.24</c:v>
                </c:pt>
                <c:pt idx="13">
                  <c:v>0.26</c:v>
                </c:pt>
                <c:pt idx="14">
                  <c:v>0.28</c:v>
                </c:pt>
                <c:pt idx="15">
                  <c:v>0.30</c:v>
                </c:pt>
                <c:pt idx="16">
                  <c:v>0.32</c:v>
                </c:pt>
                <c:pt idx="17">
                  <c:v>0.34</c:v>
                </c:pt>
                <c:pt idx="18">
                  <c:v>0.36</c:v>
                </c:pt>
                <c:pt idx="19">
                  <c:v>0.38</c:v>
                </c:pt>
                <c:pt idx="20">
                  <c:v>0.40</c:v>
                </c:pt>
                <c:pt idx="21">
                  <c:v>0.42</c:v>
                </c:pt>
                <c:pt idx="22">
                  <c:v>0.44</c:v>
                </c:pt>
                <c:pt idx="23">
                  <c:v>0.46</c:v>
                </c:pt>
                <c:pt idx="24">
                  <c:v>0.48</c:v>
                </c:pt>
                <c:pt idx="25">
                  <c:v>0.50</c:v>
                </c:pt>
                <c:pt idx="26">
                  <c:v>0.52</c:v>
                </c:pt>
                <c:pt idx="27">
                  <c:v>0.54</c:v>
                </c:pt>
                <c:pt idx="28">
                  <c:v>0.56</c:v>
                </c:pt>
                <c:pt idx="29">
                  <c:v>0.58</c:v>
                </c:pt>
                <c:pt idx="30">
                  <c:v>0.60</c:v>
                </c:pt>
                <c:pt idx="31">
                  <c:v>0.62</c:v>
                </c:pt>
                <c:pt idx="32">
                  <c:v>0.64</c:v>
                </c:pt>
                <c:pt idx="33">
                  <c:v>0.66</c:v>
                </c:pt>
                <c:pt idx="34">
                  <c:v>0.68</c:v>
                </c:pt>
                <c:pt idx="35">
                  <c:v>0.70</c:v>
                </c:pt>
                <c:pt idx="36">
                  <c:v>0.72</c:v>
                </c:pt>
                <c:pt idx="37">
                  <c:v>0.74</c:v>
                </c:pt>
                <c:pt idx="38">
                  <c:v>0.76</c:v>
                </c:pt>
                <c:pt idx="39">
                  <c:v>0.78</c:v>
                </c:pt>
                <c:pt idx="40">
                  <c:v>0.80</c:v>
                </c:pt>
                <c:pt idx="41">
                  <c:v>0.82</c:v>
                </c:pt>
                <c:pt idx="42">
                  <c:v>0.84</c:v>
                </c:pt>
                <c:pt idx="43">
                  <c:v>0.86</c:v>
                </c:pt>
                <c:pt idx="44">
                  <c:v>0.88</c:v>
                </c:pt>
                <c:pt idx="45">
                  <c:v>0.90</c:v>
                </c:pt>
                <c:pt idx="46">
                  <c:v>0.92</c:v>
                </c:pt>
                <c:pt idx="47">
                  <c:v>0.94</c:v>
                </c:pt>
                <c:pt idx="48">
                  <c:v>0.96</c:v>
                </c:pt>
                <c:pt idx="49">
                  <c:v>0.98</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strCache>
            </c:strRef>
          </c:cat>
          <c:val>
            <c:numRef>
              <c:f>ChartData!$C$2:$C$101</c:f>
              <c:numCache>
                <c:formatCode>0.000</c:formatCode>
                <c:ptCount val="100"/>
                <c:pt idx="0">
                  <c:v>0.02</c:v>
                </c:pt>
                <c:pt idx="1">
                  <c:v>0.0895841067665885</c:v>
                </c:pt>
                <c:pt idx="2">
                  <c:v>0.139168213533177</c:v>
                </c:pt>
                <c:pt idx="3">
                  <c:v>0.178752320299765</c:v>
                </c:pt>
                <c:pt idx="4">
                  <c:v>0.211669760399687</c:v>
                </c:pt>
                <c:pt idx="5">
                  <c:v>0.239587200499609</c:v>
                </c:pt>
                <c:pt idx="6">
                  <c:v>0.263504640599531</c:v>
                </c:pt>
                <c:pt idx="7">
                  <c:v>0.28408874736612</c:v>
                </c:pt>
                <c:pt idx="8">
                  <c:v>0.301815711275565</c:v>
                </c:pt>
                <c:pt idx="9">
                  <c:v>0.317042675185011</c:v>
                </c:pt>
                <c:pt idx="10">
                  <c:v>0.330047416872234</c:v>
                </c:pt>
                <c:pt idx="11">
                  <c:v>0.341052158559458</c:v>
                </c:pt>
                <c:pt idx="12">
                  <c:v>0.350238718428499</c:v>
                </c:pt>
                <c:pt idx="13">
                  <c:v>0.357758611630874</c:v>
                </c:pt>
                <c:pt idx="14">
                  <c:v>0.363740043294788</c:v>
                </c:pt>
                <c:pt idx="15">
                  <c:v>0.36829290353013</c:v>
                </c:pt>
                <c:pt idx="16">
                  <c:v>0.371512430432138</c:v>
                </c:pt>
                <c:pt idx="17">
                  <c:v>0.373481957334147</c:v>
                </c:pt>
                <c:pt idx="18">
                  <c:v>0.37427501364792</c:v>
                </c:pt>
                <c:pt idx="19">
                  <c:v>0.373956958850582</c:v>
                </c:pt>
                <c:pt idx="20">
                  <c:v>0.372586272474297</c:v>
                </c:pt>
                <c:pt idx="21">
                  <c:v>0.370215586098012</c:v>
                </c:pt>
                <c:pt idx="22">
                  <c:v>0.366892518769346</c:v>
                </c:pt>
                <c:pt idx="23">
                  <c:v>0.362660360531589</c:v>
                </c:pt>
                <c:pt idx="24">
                  <c:v>0.357558637076441</c:v>
                </c:pt>
                <c:pt idx="25">
                  <c:v>0.351623580287959</c:v>
                </c:pt>
                <c:pt idx="26">
                  <c:v>0.344888523499477</c:v>
                </c:pt>
                <c:pt idx="27">
                  <c:v>0.337384235941765</c:v>
                </c:pt>
                <c:pt idx="28">
                  <c:v>0.329139207643312</c:v>
                </c:pt>
                <c:pt idx="29">
                  <c:v>0.320179893630573</c:v>
                </c:pt>
                <c:pt idx="30">
                  <c:v>0.31053092444542</c:v>
                </c:pt>
                <c:pt idx="31">
                  <c:v>0.300215288593601</c:v>
                </c:pt>
                <c:pt idx="32">
                  <c:v>0.289254491451459</c:v>
                </c:pt>
                <c:pt idx="33">
                  <c:v>0.277668694309317</c:v>
                </c:pt>
                <c:pt idx="34">
                  <c:v>0.265476836561115</c:v>
                </c:pt>
                <c:pt idx="35">
                  <c:v>0.252696743518795</c:v>
                </c:pt>
                <c:pt idx="36">
                  <c:v>0.239345221905046</c:v>
                </c:pt>
                <c:pt idx="37">
                  <c:v>0.225438144735742</c:v>
                </c:pt>
                <c:pt idx="38">
                  <c:v>0.210990527025897</c:v>
                </c:pt>
                <c:pt idx="39">
                  <c:v>0.196016593526578</c:v>
                </c:pt>
                <c:pt idx="40">
                  <c:v>0.180529839514439</c:v>
                </c:pt>
                <c:pt idx="41">
                  <c:v>0.1645430855023</c:v>
                </c:pt>
                <c:pt idx="42">
                  <c:v>0.148068526612112</c:v>
                </c:pt>
                <c:pt idx="43">
                  <c:v>0.131117777245734</c:v>
                </c:pt>
                <c:pt idx="44">
                  <c:v>0.113701911600286</c:v>
                </c:pt>
                <c:pt idx="45">
                  <c:v>0.0958315005002926</c:v>
                </c:pt>
                <c:pt idx="46">
                  <c:v>0.0775166449558547</c:v>
                </c:pt>
                <c:pt idx="47">
                  <c:v>0.0587670068027211</c:v>
                </c:pt>
                <c:pt idx="48">
                  <c:v>0.0395918367346939</c:v>
                </c:pt>
                <c:pt idx="49">
                  <c:v>0.02</c:v>
                </c:pt>
              </c:numCache>
            </c:numRef>
          </c:val>
          <c:smooth val="0"/>
        </c:ser>
        <c:hiLowLines>
          <c:spPr>
            <a:ln w="0">
              <a:noFill/>
            </a:ln>
          </c:spPr>
        </c:hiLowLines>
        <c:marker val="0"/>
        <c:axId val="71242458"/>
        <c:axId val="97075756"/>
      </c:lineChart>
      <c:catAx>
        <c:axId val="7124245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Fraction screened first, r / 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075756"/>
        <c:crosses val="autoZero"/>
        <c:auto val="1"/>
        <c:lblAlgn val="ctr"/>
        <c:lblOffset val="100"/>
        <c:noMultiLvlLbl val="0"/>
      </c:catAx>
      <c:valAx>
        <c:axId val="970757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Probability of hiring the best</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242458"/>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12</xdr:col>
      <xdr:colOff>313200</xdr:colOff>
      <xdr:row>19</xdr:row>
      <xdr:rowOff>162000</xdr:rowOff>
    </xdr:to>
    <xdr:graphicFrame>
      <xdr:nvGraphicFramePr>
        <xdr:cNvPr id="0" name="Chart 1"/>
        <xdr:cNvGraphicFramePr/>
      </xdr:nvGraphicFramePr>
      <xdr:xfrm>
        <a:off x="4687560" y="914400"/>
        <a:ext cx="61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3" min="3" style="0" width="15"/>
    <col collapsed="false" customWidth="true" hidden="false" outlineLevel="0" max="4" min="4" style="0" width="3"/>
    <col collapsed="false" customWidth="true" hidden="false" outlineLevel="0" max="7" min="5" style="0" width="13"/>
  </cols>
  <sheetData>
    <row r="1" customFormat="false" ht="25.5" hidden="false" customHeight="true" outlineLevel="0" collapsed="false">
      <c r="B1" s="1" t="s">
        <v>0</v>
      </c>
      <c r="C1" s="1"/>
      <c r="D1" s="1"/>
      <c r="E1" s="1"/>
      <c r="F1" s="1"/>
      <c r="G1" s="1"/>
    </row>
    <row r="2" customFormat="false" ht="31.5" hidden="false" customHeight="true" outlineLevel="0" collapsed="false">
      <c r="B2" s="2" t="s">
        <v>1</v>
      </c>
      <c r="C2" s="2"/>
      <c r="D2" s="2"/>
      <c r="E2" s="2"/>
      <c r="F2" s="2"/>
      <c r="G2" s="2"/>
    </row>
    <row r="4" customFormat="false" ht="15" hidden="false" customHeight="false" outlineLevel="0" collapsed="false">
      <c r="B4" s="3" t="s">
        <v>2</v>
      </c>
      <c r="C4" s="3"/>
    </row>
    <row r="5" customFormat="false" ht="15" hidden="false" customHeight="false" outlineLevel="0" collapsed="false">
      <c r="B5" s="4" t="s">
        <v>3</v>
      </c>
      <c r="C5" s="5" t="n">
        <v>50</v>
      </c>
    </row>
    <row r="7" customFormat="false" ht="15" hidden="false" customHeight="false" outlineLevel="0" collapsed="false">
      <c r="B7" s="3" t="s">
        <v>4</v>
      </c>
      <c r="C7" s="3"/>
    </row>
    <row r="8" customFormat="false" ht="15" hidden="false" customHeight="false" outlineLevel="0" collapsed="false">
      <c r="B8" s="6" t="s">
        <v>5</v>
      </c>
      <c r="C8" s="7" t="n">
        <f aca="false">INDEX(ChartData!A2:A101,MATCH(MAX(ChartData!C2:C101),ChartData!C2:C101,0))</f>
        <v>18</v>
      </c>
    </row>
    <row r="9" customFormat="false" ht="15" hidden="false" customHeight="false" outlineLevel="0" collapsed="false">
      <c r="B9" s="6" t="s">
        <v>6</v>
      </c>
      <c r="C9" s="8" t="n">
        <f aca="false">MAX(ChartData!C2:C101)</f>
        <v>0.37427501364792</v>
      </c>
    </row>
    <row r="10" customFormat="false" ht="15" hidden="false" customHeight="false" outlineLevel="0" collapsed="false">
      <c r="B10" s="4" t="s">
        <v>7</v>
      </c>
      <c r="C10" s="9" t="n">
        <f aca="false">C8/C5</f>
        <v>0.36</v>
      </c>
    </row>
    <row r="11" customFormat="false" ht="15" hidden="false" customHeight="false" outlineLevel="0" collapsed="false">
      <c r="B11" s="4" t="s">
        <v>8</v>
      </c>
      <c r="C11" s="9" t="n">
        <f aca="false">1/EXP(1)</f>
        <v>0.367879441171442</v>
      </c>
    </row>
    <row r="12" customFormat="false" ht="31.5" hidden="false" customHeight="true" outlineLevel="0" collapsed="false">
      <c r="B12" s="10" t="s">
        <v>9</v>
      </c>
      <c r="C12" s="10"/>
    </row>
  </sheetData>
  <mergeCells count="5">
    <mergeCell ref="B1:G1"/>
    <mergeCell ref="B2:G2"/>
    <mergeCell ref="B4:C4"/>
    <mergeCell ref="B7:C7"/>
    <mergeCell ref="B12:C12"/>
  </mergeCells>
  <dataValidations count="1">
    <dataValidation allowBlank="false" error="Enter a whole number from 2 to 100." errorStyle="stop" operator="between" showDropDown="false" showErrorMessage="true" showInputMessage="false" sqref="C5" type="whole">
      <formula1>2</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3"/>
    <col collapsed="false" customWidth="true" hidden="false" outlineLevel="0" max="5" min="5" style="0" width="6"/>
  </cols>
  <sheetData>
    <row r="1" customFormat="false" ht="15" hidden="false" customHeight="false" outlineLevel="0" collapsed="false">
      <c r="A1" s="11" t="s">
        <v>10</v>
      </c>
      <c r="B1" s="11" t="s">
        <v>11</v>
      </c>
      <c r="C1" s="11" t="s">
        <v>12</v>
      </c>
      <c r="E1" s="12" t="s">
        <v>13</v>
      </c>
    </row>
    <row r="2" customFormat="false" ht="15" hidden="false" customHeight="false" outlineLevel="0" collapsed="false">
      <c r="A2" s="13" t="n">
        <v>0</v>
      </c>
      <c r="B2" s="14" t="n">
        <f aca="false">IF(A2&gt;=Calculator!$C$5,"",A2/Calculator!$C$5)</f>
        <v>0</v>
      </c>
      <c r="C2" s="15" t="n">
        <f aca="false">IF(A2&gt;=Calculator!$C$5,"",IF(A2=0,1/Calculator!$C$5,(A2/Calculator!$C$5)*SUMPRODUCT(($E$2:$E$101&gt;=A2)*($E$2:$E$101&lt;=Calculator!$C$5-1)/$E$2:$E$101)))</f>
        <v>0.02</v>
      </c>
      <c r="E2" s="16" t="n">
        <v>1</v>
      </c>
    </row>
    <row r="3" customFormat="false" ht="15" hidden="false" customHeight="false" outlineLevel="0" collapsed="false">
      <c r="A3" s="13" t="n">
        <v>1</v>
      </c>
      <c r="B3" s="14" t="n">
        <f aca="false">IF(A3&gt;=Calculator!$C$5,"",A3/Calculator!$C$5)</f>
        <v>0.02</v>
      </c>
      <c r="C3" s="15" t="n">
        <f aca="false">IF(A3&gt;=Calculator!$C$5,"",IF(A3=0,1/Calculator!$C$5,(A3/Calculator!$C$5)*SUMPRODUCT(($E$2:$E$101&gt;=A3)*($E$2:$E$101&lt;=Calculator!$C$5-1)/$E$2:$E$101)))</f>
        <v>0.0895841067665885</v>
      </c>
      <c r="E3" s="16" t="n">
        <v>2</v>
      </c>
    </row>
    <row r="4" customFormat="false" ht="15" hidden="false" customHeight="false" outlineLevel="0" collapsed="false">
      <c r="A4" s="13" t="n">
        <v>2</v>
      </c>
      <c r="B4" s="14" t="n">
        <f aca="false">IF(A4&gt;=Calculator!$C$5,"",A4/Calculator!$C$5)</f>
        <v>0.04</v>
      </c>
      <c r="C4" s="15" t="n">
        <f aca="false">IF(A4&gt;=Calculator!$C$5,"",IF(A4=0,1/Calculator!$C$5,(A4/Calculator!$C$5)*SUMPRODUCT(($E$2:$E$101&gt;=A4)*($E$2:$E$101&lt;=Calculator!$C$5-1)/$E$2:$E$101)))</f>
        <v>0.139168213533177</v>
      </c>
      <c r="E4" s="16" t="n">
        <v>3</v>
      </c>
    </row>
    <row r="5" customFormat="false" ht="15" hidden="false" customHeight="false" outlineLevel="0" collapsed="false">
      <c r="A5" s="13" t="n">
        <v>3</v>
      </c>
      <c r="B5" s="14" t="n">
        <f aca="false">IF(A5&gt;=Calculator!$C$5,"",A5/Calculator!$C$5)</f>
        <v>0.06</v>
      </c>
      <c r="C5" s="15" t="n">
        <f aca="false">IF(A5&gt;=Calculator!$C$5,"",IF(A5=0,1/Calculator!$C$5,(A5/Calculator!$C$5)*SUMPRODUCT(($E$2:$E$101&gt;=A5)*($E$2:$E$101&lt;=Calculator!$C$5-1)/$E$2:$E$101)))</f>
        <v>0.178752320299765</v>
      </c>
      <c r="E5" s="16" t="n">
        <v>4</v>
      </c>
    </row>
    <row r="6" customFormat="false" ht="15" hidden="false" customHeight="false" outlineLevel="0" collapsed="false">
      <c r="A6" s="13" t="n">
        <v>4</v>
      </c>
      <c r="B6" s="14" t="n">
        <f aca="false">IF(A6&gt;=Calculator!$C$5,"",A6/Calculator!$C$5)</f>
        <v>0.08</v>
      </c>
      <c r="C6" s="15" t="n">
        <f aca="false">IF(A6&gt;=Calculator!$C$5,"",IF(A6=0,1/Calculator!$C$5,(A6/Calculator!$C$5)*SUMPRODUCT(($E$2:$E$101&gt;=A6)*($E$2:$E$101&lt;=Calculator!$C$5-1)/$E$2:$E$101)))</f>
        <v>0.211669760399687</v>
      </c>
      <c r="E6" s="16" t="n">
        <v>5</v>
      </c>
    </row>
    <row r="7" customFormat="false" ht="15" hidden="false" customHeight="false" outlineLevel="0" collapsed="false">
      <c r="A7" s="13" t="n">
        <v>5</v>
      </c>
      <c r="B7" s="14" t="n">
        <f aca="false">IF(A7&gt;=Calculator!$C$5,"",A7/Calculator!$C$5)</f>
        <v>0.1</v>
      </c>
      <c r="C7" s="15" t="n">
        <f aca="false">IF(A7&gt;=Calculator!$C$5,"",IF(A7=0,1/Calculator!$C$5,(A7/Calculator!$C$5)*SUMPRODUCT(($E$2:$E$101&gt;=A7)*($E$2:$E$101&lt;=Calculator!$C$5-1)/$E$2:$E$101)))</f>
        <v>0.239587200499609</v>
      </c>
      <c r="E7" s="16" t="n">
        <v>6</v>
      </c>
    </row>
    <row r="8" customFormat="false" ht="15" hidden="false" customHeight="false" outlineLevel="0" collapsed="false">
      <c r="A8" s="13" t="n">
        <v>6</v>
      </c>
      <c r="B8" s="14" t="n">
        <f aca="false">IF(A8&gt;=Calculator!$C$5,"",A8/Calculator!$C$5)</f>
        <v>0.12</v>
      </c>
      <c r="C8" s="15" t="n">
        <f aca="false">IF(A8&gt;=Calculator!$C$5,"",IF(A8=0,1/Calculator!$C$5,(A8/Calculator!$C$5)*SUMPRODUCT(($E$2:$E$101&gt;=A8)*($E$2:$E$101&lt;=Calculator!$C$5-1)/$E$2:$E$101)))</f>
        <v>0.263504640599531</v>
      </c>
      <c r="E8" s="16" t="n">
        <v>7</v>
      </c>
    </row>
    <row r="9" customFormat="false" ht="15" hidden="false" customHeight="false" outlineLevel="0" collapsed="false">
      <c r="A9" s="13" t="n">
        <v>7</v>
      </c>
      <c r="B9" s="14" t="n">
        <f aca="false">IF(A9&gt;=Calculator!$C$5,"",A9/Calculator!$C$5)</f>
        <v>0.14</v>
      </c>
      <c r="C9" s="15" t="n">
        <f aca="false">IF(A9&gt;=Calculator!$C$5,"",IF(A9=0,1/Calculator!$C$5,(A9/Calculator!$C$5)*SUMPRODUCT(($E$2:$E$101&gt;=A9)*($E$2:$E$101&lt;=Calculator!$C$5-1)/$E$2:$E$101)))</f>
        <v>0.28408874736612</v>
      </c>
      <c r="E9" s="16" t="n">
        <v>8</v>
      </c>
    </row>
    <row r="10" customFormat="false" ht="15" hidden="false" customHeight="false" outlineLevel="0" collapsed="false">
      <c r="A10" s="13" t="n">
        <v>8</v>
      </c>
      <c r="B10" s="14" t="n">
        <f aca="false">IF(A10&gt;=Calculator!$C$5,"",A10/Calculator!$C$5)</f>
        <v>0.16</v>
      </c>
      <c r="C10" s="15" t="n">
        <f aca="false">IF(A10&gt;=Calculator!$C$5,"",IF(A10=0,1/Calculator!$C$5,(A10/Calculator!$C$5)*SUMPRODUCT(($E$2:$E$101&gt;=A10)*($E$2:$E$101&lt;=Calculator!$C$5-1)/$E$2:$E$101)))</f>
        <v>0.301815711275565</v>
      </c>
      <c r="E10" s="16" t="n">
        <v>9</v>
      </c>
    </row>
    <row r="11" customFormat="false" ht="15" hidden="false" customHeight="false" outlineLevel="0" collapsed="false">
      <c r="A11" s="13" t="n">
        <v>9</v>
      </c>
      <c r="B11" s="14" t="n">
        <f aca="false">IF(A11&gt;=Calculator!$C$5,"",A11/Calculator!$C$5)</f>
        <v>0.18</v>
      </c>
      <c r="C11" s="15" t="n">
        <f aca="false">IF(A11&gt;=Calculator!$C$5,"",IF(A11=0,1/Calculator!$C$5,(A11/Calculator!$C$5)*SUMPRODUCT(($E$2:$E$101&gt;=A11)*($E$2:$E$101&lt;=Calculator!$C$5-1)/$E$2:$E$101)))</f>
        <v>0.317042675185011</v>
      </c>
      <c r="E11" s="16" t="n">
        <v>10</v>
      </c>
    </row>
    <row r="12" customFormat="false" ht="15" hidden="false" customHeight="false" outlineLevel="0" collapsed="false">
      <c r="A12" s="13" t="n">
        <v>10</v>
      </c>
      <c r="B12" s="14" t="n">
        <f aca="false">IF(A12&gt;=Calculator!$C$5,"",A12/Calculator!$C$5)</f>
        <v>0.2</v>
      </c>
      <c r="C12" s="15" t="n">
        <f aca="false">IF(A12&gt;=Calculator!$C$5,"",IF(A12=0,1/Calculator!$C$5,(A12/Calculator!$C$5)*SUMPRODUCT(($E$2:$E$101&gt;=A12)*($E$2:$E$101&lt;=Calculator!$C$5-1)/$E$2:$E$101)))</f>
        <v>0.330047416872234</v>
      </c>
      <c r="E12" s="16" t="n">
        <v>11</v>
      </c>
    </row>
    <row r="13" customFormat="false" ht="15" hidden="false" customHeight="false" outlineLevel="0" collapsed="false">
      <c r="A13" s="13" t="n">
        <v>11</v>
      </c>
      <c r="B13" s="14" t="n">
        <f aca="false">IF(A13&gt;=Calculator!$C$5,"",A13/Calculator!$C$5)</f>
        <v>0.22</v>
      </c>
      <c r="C13" s="15" t="n">
        <f aca="false">IF(A13&gt;=Calculator!$C$5,"",IF(A13=0,1/Calculator!$C$5,(A13/Calculator!$C$5)*SUMPRODUCT(($E$2:$E$101&gt;=A13)*($E$2:$E$101&lt;=Calculator!$C$5-1)/$E$2:$E$101)))</f>
        <v>0.341052158559458</v>
      </c>
      <c r="E13" s="16" t="n">
        <v>12</v>
      </c>
    </row>
    <row r="14" customFormat="false" ht="15" hidden="false" customHeight="false" outlineLevel="0" collapsed="false">
      <c r="A14" s="13" t="n">
        <v>12</v>
      </c>
      <c r="B14" s="14" t="n">
        <f aca="false">IF(A14&gt;=Calculator!$C$5,"",A14/Calculator!$C$5)</f>
        <v>0.24</v>
      </c>
      <c r="C14" s="15" t="n">
        <f aca="false">IF(A14&gt;=Calculator!$C$5,"",IF(A14=0,1/Calculator!$C$5,(A14/Calculator!$C$5)*SUMPRODUCT(($E$2:$E$101&gt;=A14)*($E$2:$E$101&lt;=Calculator!$C$5-1)/$E$2:$E$101)))</f>
        <v>0.350238718428499</v>
      </c>
      <c r="E14" s="16" t="n">
        <v>13</v>
      </c>
    </row>
    <row r="15" customFormat="false" ht="15" hidden="false" customHeight="false" outlineLevel="0" collapsed="false">
      <c r="A15" s="13" t="n">
        <v>13</v>
      </c>
      <c r="B15" s="14" t="n">
        <f aca="false">IF(A15&gt;=Calculator!$C$5,"",A15/Calculator!$C$5)</f>
        <v>0.26</v>
      </c>
      <c r="C15" s="15" t="n">
        <f aca="false">IF(A15&gt;=Calculator!$C$5,"",IF(A15=0,1/Calculator!$C$5,(A15/Calculator!$C$5)*SUMPRODUCT(($E$2:$E$101&gt;=A15)*($E$2:$E$101&lt;=Calculator!$C$5-1)/$E$2:$E$101)))</f>
        <v>0.357758611630874</v>
      </c>
      <c r="E15" s="16" t="n">
        <v>14</v>
      </c>
    </row>
    <row r="16" customFormat="false" ht="15" hidden="false" customHeight="false" outlineLevel="0" collapsed="false">
      <c r="A16" s="13" t="n">
        <v>14</v>
      </c>
      <c r="B16" s="14" t="n">
        <f aca="false">IF(A16&gt;=Calculator!$C$5,"",A16/Calculator!$C$5)</f>
        <v>0.28</v>
      </c>
      <c r="C16" s="15" t="n">
        <f aca="false">IF(A16&gt;=Calculator!$C$5,"",IF(A16=0,1/Calculator!$C$5,(A16/Calculator!$C$5)*SUMPRODUCT(($E$2:$E$101&gt;=A16)*($E$2:$E$101&lt;=Calculator!$C$5-1)/$E$2:$E$101)))</f>
        <v>0.363740043294788</v>
      </c>
      <c r="E16" s="16" t="n">
        <v>15</v>
      </c>
    </row>
    <row r="17" customFormat="false" ht="15" hidden="false" customHeight="false" outlineLevel="0" collapsed="false">
      <c r="A17" s="13" t="n">
        <v>15</v>
      </c>
      <c r="B17" s="14" t="n">
        <f aca="false">IF(A17&gt;=Calculator!$C$5,"",A17/Calculator!$C$5)</f>
        <v>0.3</v>
      </c>
      <c r="C17" s="15" t="n">
        <f aca="false">IF(A17&gt;=Calculator!$C$5,"",IF(A17=0,1/Calculator!$C$5,(A17/Calculator!$C$5)*SUMPRODUCT(($E$2:$E$101&gt;=A17)*($E$2:$E$101&lt;=Calculator!$C$5-1)/$E$2:$E$101)))</f>
        <v>0.36829290353013</v>
      </c>
      <c r="E17" s="16" t="n">
        <v>16</v>
      </c>
    </row>
    <row r="18" customFormat="false" ht="15" hidden="false" customHeight="false" outlineLevel="0" collapsed="false">
      <c r="A18" s="13" t="n">
        <v>16</v>
      </c>
      <c r="B18" s="14" t="n">
        <f aca="false">IF(A18&gt;=Calculator!$C$5,"",A18/Calculator!$C$5)</f>
        <v>0.32</v>
      </c>
      <c r="C18" s="15" t="n">
        <f aca="false">IF(A18&gt;=Calculator!$C$5,"",IF(A18=0,1/Calculator!$C$5,(A18/Calculator!$C$5)*SUMPRODUCT(($E$2:$E$101&gt;=A18)*($E$2:$E$101&lt;=Calculator!$C$5-1)/$E$2:$E$101)))</f>
        <v>0.371512430432138</v>
      </c>
      <c r="E18" s="16" t="n">
        <v>17</v>
      </c>
    </row>
    <row r="19" customFormat="false" ht="15" hidden="false" customHeight="false" outlineLevel="0" collapsed="false">
      <c r="A19" s="13" t="n">
        <v>17</v>
      </c>
      <c r="B19" s="14" t="n">
        <f aca="false">IF(A19&gt;=Calculator!$C$5,"",A19/Calculator!$C$5)</f>
        <v>0.34</v>
      </c>
      <c r="C19" s="15" t="n">
        <f aca="false">IF(A19&gt;=Calculator!$C$5,"",IF(A19=0,1/Calculator!$C$5,(A19/Calculator!$C$5)*SUMPRODUCT(($E$2:$E$101&gt;=A19)*($E$2:$E$101&lt;=Calculator!$C$5-1)/$E$2:$E$101)))</f>
        <v>0.373481957334147</v>
      </c>
      <c r="E19" s="16" t="n">
        <v>18</v>
      </c>
    </row>
    <row r="20" customFormat="false" ht="15" hidden="false" customHeight="false" outlineLevel="0" collapsed="false">
      <c r="A20" s="13" t="n">
        <v>18</v>
      </c>
      <c r="B20" s="14" t="n">
        <f aca="false">IF(A20&gt;=Calculator!$C$5,"",A20/Calculator!$C$5)</f>
        <v>0.36</v>
      </c>
      <c r="C20" s="15" t="n">
        <f aca="false">IF(A20&gt;=Calculator!$C$5,"",IF(A20=0,1/Calculator!$C$5,(A20/Calculator!$C$5)*SUMPRODUCT(($E$2:$E$101&gt;=A20)*($E$2:$E$101&lt;=Calculator!$C$5-1)/$E$2:$E$101)))</f>
        <v>0.37427501364792</v>
      </c>
      <c r="E20" s="16" t="n">
        <v>19</v>
      </c>
    </row>
    <row r="21" customFormat="false" ht="15" hidden="false" customHeight="false" outlineLevel="0" collapsed="false">
      <c r="A21" s="13" t="n">
        <v>19</v>
      </c>
      <c r="B21" s="14" t="n">
        <f aca="false">IF(A21&gt;=Calculator!$C$5,"",A21/Calculator!$C$5)</f>
        <v>0.38</v>
      </c>
      <c r="C21" s="15" t="n">
        <f aca="false">IF(A21&gt;=Calculator!$C$5,"",IF(A21=0,1/Calculator!$C$5,(A21/Calculator!$C$5)*SUMPRODUCT(($E$2:$E$101&gt;=A21)*($E$2:$E$101&lt;=Calculator!$C$5-1)/$E$2:$E$101)))</f>
        <v>0.373956958850582</v>
      </c>
      <c r="E21" s="16" t="n">
        <v>20</v>
      </c>
    </row>
    <row r="22" customFormat="false" ht="15" hidden="false" customHeight="false" outlineLevel="0" collapsed="false">
      <c r="A22" s="13" t="n">
        <v>20</v>
      </c>
      <c r="B22" s="14" t="n">
        <f aca="false">IF(A22&gt;=Calculator!$C$5,"",A22/Calculator!$C$5)</f>
        <v>0.4</v>
      </c>
      <c r="C22" s="15" t="n">
        <f aca="false">IF(A22&gt;=Calculator!$C$5,"",IF(A22=0,1/Calculator!$C$5,(A22/Calculator!$C$5)*SUMPRODUCT(($E$2:$E$101&gt;=A22)*($E$2:$E$101&lt;=Calculator!$C$5-1)/$E$2:$E$101)))</f>
        <v>0.372586272474297</v>
      </c>
      <c r="E22" s="16" t="n">
        <v>21</v>
      </c>
    </row>
    <row r="23" customFormat="false" ht="15" hidden="false" customHeight="false" outlineLevel="0" collapsed="false">
      <c r="A23" s="13" t="n">
        <v>21</v>
      </c>
      <c r="B23" s="14" t="n">
        <f aca="false">IF(A23&gt;=Calculator!$C$5,"",A23/Calculator!$C$5)</f>
        <v>0.42</v>
      </c>
      <c r="C23" s="15" t="n">
        <f aca="false">IF(A23&gt;=Calculator!$C$5,"",IF(A23=0,1/Calculator!$C$5,(A23/Calculator!$C$5)*SUMPRODUCT(($E$2:$E$101&gt;=A23)*($E$2:$E$101&lt;=Calculator!$C$5-1)/$E$2:$E$101)))</f>
        <v>0.370215586098012</v>
      </c>
      <c r="E23" s="16" t="n">
        <v>22</v>
      </c>
    </row>
    <row r="24" customFormat="false" ht="15" hidden="false" customHeight="false" outlineLevel="0" collapsed="false">
      <c r="A24" s="13" t="n">
        <v>22</v>
      </c>
      <c r="B24" s="14" t="n">
        <f aca="false">IF(A24&gt;=Calculator!$C$5,"",A24/Calculator!$C$5)</f>
        <v>0.44</v>
      </c>
      <c r="C24" s="15" t="n">
        <f aca="false">IF(A24&gt;=Calculator!$C$5,"",IF(A24=0,1/Calculator!$C$5,(A24/Calculator!$C$5)*SUMPRODUCT(($E$2:$E$101&gt;=A24)*($E$2:$E$101&lt;=Calculator!$C$5-1)/$E$2:$E$101)))</f>
        <v>0.366892518769346</v>
      </c>
      <c r="E24" s="16" t="n">
        <v>23</v>
      </c>
    </row>
    <row r="25" customFormat="false" ht="15" hidden="false" customHeight="false" outlineLevel="0" collapsed="false">
      <c r="A25" s="13" t="n">
        <v>23</v>
      </c>
      <c r="B25" s="14" t="n">
        <f aca="false">IF(A25&gt;=Calculator!$C$5,"",A25/Calculator!$C$5)</f>
        <v>0.46</v>
      </c>
      <c r="C25" s="15" t="n">
        <f aca="false">IF(A25&gt;=Calculator!$C$5,"",IF(A25=0,1/Calculator!$C$5,(A25/Calculator!$C$5)*SUMPRODUCT(($E$2:$E$101&gt;=A25)*($E$2:$E$101&lt;=Calculator!$C$5-1)/$E$2:$E$101)))</f>
        <v>0.362660360531589</v>
      </c>
      <c r="E25" s="16" t="n">
        <v>24</v>
      </c>
    </row>
    <row r="26" customFormat="false" ht="15" hidden="false" customHeight="false" outlineLevel="0" collapsed="false">
      <c r="A26" s="13" t="n">
        <v>24</v>
      </c>
      <c r="B26" s="14" t="n">
        <f aca="false">IF(A26&gt;=Calculator!$C$5,"",A26/Calculator!$C$5)</f>
        <v>0.48</v>
      </c>
      <c r="C26" s="15" t="n">
        <f aca="false">IF(A26&gt;=Calculator!$C$5,"",IF(A26=0,1/Calculator!$C$5,(A26/Calculator!$C$5)*SUMPRODUCT(($E$2:$E$101&gt;=A26)*($E$2:$E$101&lt;=Calculator!$C$5-1)/$E$2:$E$101)))</f>
        <v>0.357558637076441</v>
      </c>
      <c r="E26" s="16" t="n">
        <v>25</v>
      </c>
    </row>
    <row r="27" customFormat="false" ht="15" hidden="false" customHeight="false" outlineLevel="0" collapsed="false">
      <c r="A27" s="13" t="n">
        <v>25</v>
      </c>
      <c r="B27" s="14" t="n">
        <f aca="false">IF(A27&gt;=Calculator!$C$5,"",A27/Calculator!$C$5)</f>
        <v>0.5</v>
      </c>
      <c r="C27" s="15" t="n">
        <f aca="false">IF(A27&gt;=Calculator!$C$5,"",IF(A27=0,1/Calculator!$C$5,(A27/Calculator!$C$5)*SUMPRODUCT(($E$2:$E$101&gt;=A27)*($E$2:$E$101&lt;=Calculator!$C$5-1)/$E$2:$E$101)))</f>
        <v>0.351623580287959</v>
      </c>
      <c r="E27" s="16" t="n">
        <v>26</v>
      </c>
    </row>
    <row r="28" customFormat="false" ht="15" hidden="false" customHeight="false" outlineLevel="0" collapsed="false">
      <c r="A28" s="13" t="n">
        <v>26</v>
      </c>
      <c r="B28" s="14" t="n">
        <f aca="false">IF(A28&gt;=Calculator!$C$5,"",A28/Calculator!$C$5)</f>
        <v>0.52</v>
      </c>
      <c r="C28" s="15" t="n">
        <f aca="false">IF(A28&gt;=Calculator!$C$5,"",IF(A28=0,1/Calculator!$C$5,(A28/Calculator!$C$5)*SUMPRODUCT(($E$2:$E$101&gt;=A28)*($E$2:$E$101&lt;=Calculator!$C$5-1)/$E$2:$E$101)))</f>
        <v>0.344888523499477</v>
      </c>
      <c r="E28" s="16" t="n">
        <v>27</v>
      </c>
    </row>
    <row r="29" customFormat="false" ht="15" hidden="false" customHeight="false" outlineLevel="0" collapsed="false">
      <c r="A29" s="13" t="n">
        <v>27</v>
      </c>
      <c r="B29" s="14" t="n">
        <f aca="false">IF(A29&gt;=Calculator!$C$5,"",A29/Calculator!$C$5)</f>
        <v>0.54</v>
      </c>
      <c r="C29" s="15" t="n">
        <f aca="false">IF(A29&gt;=Calculator!$C$5,"",IF(A29=0,1/Calculator!$C$5,(A29/Calculator!$C$5)*SUMPRODUCT(($E$2:$E$101&gt;=A29)*($E$2:$E$101&lt;=Calculator!$C$5-1)/$E$2:$E$101)))</f>
        <v>0.337384235941765</v>
      </c>
      <c r="E29" s="16" t="n">
        <v>28</v>
      </c>
    </row>
    <row r="30" customFormat="false" ht="15" hidden="false" customHeight="false" outlineLevel="0" collapsed="false">
      <c r="A30" s="13" t="n">
        <v>28</v>
      </c>
      <c r="B30" s="14" t="n">
        <f aca="false">IF(A30&gt;=Calculator!$C$5,"",A30/Calculator!$C$5)</f>
        <v>0.56</v>
      </c>
      <c r="C30" s="15" t="n">
        <f aca="false">IF(A30&gt;=Calculator!$C$5,"",IF(A30=0,1/Calculator!$C$5,(A30/Calculator!$C$5)*SUMPRODUCT(($E$2:$E$101&gt;=A30)*($E$2:$E$101&lt;=Calculator!$C$5-1)/$E$2:$E$101)))</f>
        <v>0.329139207643312</v>
      </c>
      <c r="E30" s="16" t="n">
        <v>29</v>
      </c>
    </row>
    <row r="31" customFormat="false" ht="15" hidden="false" customHeight="false" outlineLevel="0" collapsed="false">
      <c r="A31" s="13" t="n">
        <v>29</v>
      </c>
      <c r="B31" s="14" t="n">
        <f aca="false">IF(A31&gt;=Calculator!$C$5,"",A31/Calculator!$C$5)</f>
        <v>0.58</v>
      </c>
      <c r="C31" s="15" t="n">
        <f aca="false">IF(A31&gt;=Calculator!$C$5,"",IF(A31=0,1/Calculator!$C$5,(A31/Calculator!$C$5)*SUMPRODUCT(($E$2:$E$101&gt;=A31)*($E$2:$E$101&lt;=Calculator!$C$5-1)/$E$2:$E$101)))</f>
        <v>0.320179893630573</v>
      </c>
      <c r="E31" s="16" t="n">
        <v>30</v>
      </c>
    </row>
    <row r="32" customFormat="false" ht="15" hidden="false" customHeight="false" outlineLevel="0" collapsed="false">
      <c r="A32" s="13" t="n">
        <v>30</v>
      </c>
      <c r="B32" s="14" t="n">
        <f aca="false">IF(A32&gt;=Calculator!$C$5,"",A32/Calculator!$C$5)</f>
        <v>0.6</v>
      </c>
      <c r="C32" s="15" t="n">
        <f aca="false">IF(A32&gt;=Calculator!$C$5,"",IF(A32=0,1/Calculator!$C$5,(A32/Calculator!$C$5)*SUMPRODUCT(($E$2:$E$101&gt;=A32)*($E$2:$E$101&lt;=Calculator!$C$5-1)/$E$2:$E$101)))</f>
        <v>0.31053092444542</v>
      </c>
      <c r="E32" s="16" t="n">
        <v>31</v>
      </c>
    </row>
    <row r="33" customFormat="false" ht="15" hidden="false" customHeight="false" outlineLevel="0" collapsed="false">
      <c r="A33" s="13" t="n">
        <v>31</v>
      </c>
      <c r="B33" s="14" t="n">
        <f aca="false">IF(A33&gt;=Calculator!$C$5,"",A33/Calculator!$C$5)</f>
        <v>0.62</v>
      </c>
      <c r="C33" s="15" t="n">
        <f aca="false">IF(A33&gt;=Calculator!$C$5,"",IF(A33=0,1/Calculator!$C$5,(A33/Calculator!$C$5)*SUMPRODUCT(($E$2:$E$101&gt;=A33)*($E$2:$E$101&lt;=Calculator!$C$5-1)/$E$2:$E$101)))</f>
        <v>0.300215288593601</v>
      </c>
      <c r="E33" s="16" t="n">
        <v>32</v>
      </c>
    </row>
    <row r="34" customFormat="false" ht="15" hidden="false" customHeight="false" outlineLevel="0" collapsed="false">
      <c r="A34" s="13" t="n">
        <v>32</v>
      </c>
      <c r="B34" s="14" t="n">
        <f aca="false">IF(A34&gt;=Calculator!$C$5,"",A34/Calculator!$C$5)</f>
        <v>0.64</v>
      </c>
      <c r="C34" s="15" t="n">
        <f aca="false">IF(A34&gt;=Calculator!$C$5,"",IF(A34=0,1/Calculator!$C$5,(A34/Calculator!$C$5)*SUMPRODUCT(($E$2:$E$101&gt;=A34)*($E$2:$E$101&lt;=Calculator!$C$5-1)/$E$2:$E$101)))</f>
        <v>0.289254491451459</v>
      </c>
      <c r="E34" s="16" t="n">
        <v>33</v>
      </c>
    </row>
    <row r="35" customFormat="false" ht="15" hidden="false" customHeight="false" outlineLevel="0" collapsed="false">
      <c r="A35" s="13" t="n">
        <v>33</v>
      </c>
      <c r="B35" s="14" t="n">
        <f aca="false">IF(A35&gt;=Calculator!$C$5,"",A35/Calculator!$C$5)</f>
        <v>0.66</v>
      </c>
      <c r="C35" s="15" t="n">
        <f aca="false">IF(A35&gt;=Calculator!$C$5,"",IF(A35=0,1/Calculator!$C$5,(A35/Calculator!$C$5)*SUMPRODUCT(($E$2:$E$101&gt;=A35)*($E$2:$E$101&lt;=Calculator!$C$5-1)/$E$2:$E$101)))</f>
        <v>0.277668694309317</v>
      </c>
      <c r="E35" s="16" t="n">
        <v>34</v>
      </c>
    </row>
    <row r="36" customFormat="false" ht="15" hidden="false" customHeight="false" outlineLevel="0" collapsed="false">
      <c r="A36" s="13" t="n">
        <v>34</v>
      </c>
      <c r="B36" s="14" t="n">
        <f aca="false">IF(A36&gt;=Calculator!$C$5,"",A36/Calculator!$C$5)</f>
        <v>0.68</v>
      </c>
      <c r="C36" s="15" t="n">
        <f aca="false">IF(A36&gt;=Calculator!$C$5,"",IF(A36=0,1/Calculator!$C$5,(A36/Calculator!$C$5)*SUMPRODUCT(($E$2:$E$101&gt;=A36)*($E$2:$E$101&lt;=Calculator!$C$5-1)/$E$2:$E$101)))</f>
        <v>0.265476836561115</v>
      </c>
      <c r="E36" s="16" t="n">
        <v>35</v>
      </c>
    </row>
    <row r="37" customFormat="false" ht="15" hidden="false" customHeight="false" outlineLevel="0" collapsed="false">
      <c r="A37" s="13" t="n">
        <v>35</v>
      </c>
      <c r="B37" s="14" t="n">
        <f aca="false">IF(A37&gt;=Calculator!$C$5,"",A37/Calculator!$C$5)</f>
        <v>0.7</v>
      </c>
      <c r="C37" s="15" t="n">
        <f aca="false">IF(A37&gt;=Calculator!$C$5,"",IF(A37=0,1/Calculator!$C$5,(A37/Calculator!$C$5)*SUMPRODUCT(($E$2:$E$101&gt;=A37)*($E$2:$E$101&lt;=Calculator!$C$5-1)/$E$2:$E$101)))</f>
        <v>0.252696743518795</v>
      </c>
      <c r="E37" s="16" t="n">
        <v>36</v>
      </c>
    </row>
    <row r="38" customFormat="false" ht="15" hidden="false" customHeight="false" outlineLevel="0" collapsed="false">
      <c r="A38" s="13" t="n">
        <v>36</v>
      </c>
      <c r="B38" s="14" t="n">
        <f aca="false">IF(A38&gt;=Calculator!$C$5,"",A38/Calculator!$C$5)</f>
        <v>0.72</v>
      </c>
      <c r="C38" s="15" t="n">
        <f aca="false">IF(A38&gt;=Calculator!$C$5,"",IF(A38=0,1/Calculator!$C$5,(A38/Calculator!$C$5)*SUMPRODUCT(($E$2:$E$101&gt;=A38)*($E$2:$E$101&lt;=Calculator!$C$5-1)/$E$2:$E$101)))</f>
        <v>0.239345221905046</v>
      </c>
      <c r="E38" s="16" t="n">
        <v>37</v>
      </c>
    </row>
    <row r="39" customFormat="false" ht="15" hidden="false" customHeight="false" outlineLevel="0" collapsed="false">
      <c r="A39" s="13" t="n">
        <v>37</v>
      </c>
      <c r="B39" s="14" t="n">
        <f aca="false">IF(A39&gt;=Calculator!$C$5,"",A39/Calculator!$C$5)</f>
        <v>0.74</v>
      </c>
      <c r="C39" s="15" t="n">
        <f aca="false">IF(A39&gt;=Calculator!$C$5,"",IF(A39=0,1/Calculator!$C$5,(A39/Calculator!$C$5)*SUMPRODUCT(($E$2:$E$101&gt;=A39)*($E$2:$E$101&lt;=Calculator!$C$5-1)/$E$2:$E$101)))</f>
        <v>0.225438144735742</v>
      </c>
      <c r="E39" s="16" t="n">
        <v>38</v>
      </c>
    </row>
    <row r="40" customFormat="false" ht="15" hidden="false" customHeight="false" outlineLevel="0" collapsed="false">
      <c r="A40" s="13" t="n">
        <v>38</v>
      </c>
      <c r="B40" s="14" t="n">
        <f aca="false">IF(A40&gt;=Calculator!$C$5,"",A40/Calculator!$C$5)</f>
        <v>0.76</v>
      </c>
      <c r="C40" s="15" t="n">
        <f aca="false">IF(A40&gt;=Calculator!$C$5,"",IF(A40=0,1/Calculator!$C$5,(A40/Calculator!$C$5)*SUMPRODUCT(($E$2:$E$101&gt;=A40)*($E$2:$E$101&lt;=Calculator!$C$5-1)/$E$2:$E$101)))</f>
        <v>0.210990527025897</v>
      </c>
      <c r="E40" s="16" t="n">
        <v>39</v>
      </c>
    </row>
    <row r="41" customFormat="false" ht="15" hidden="false" customHeight="false" outlineLevel="0" collapsed="false">
      <c r="A41" s="13" t="n">
        <v>39</v>
      </c>
      <c r="B41" s="14" t="n">
        <f aca="false">IF(A41&gt;=Calculator!$C$5,"",A41/Calculator!$C$5)</f>
        <v>0.78</v>
      </c>
      <c r="C41" s="15" t="n">
        <f aca="false">IF(A41&gt;=Calculator!$C$5,"",IF(A41=0,1/Calculator!$C$5,(A41/Calculator!$C$5)*SUMPRODUCT(($E$2:$E$101&gt;=A41)*($E$2:$E$101&lt;=Calculator!$C$5-1)/$E$2:$E$101)))</f>
        <v>0.196016593526578</v>
      </c>
      <c r="E41" s="16" t="n">
        <v>40</v>
      </c>
    </row>
    <row r="42" customFormat="false" ht="15" hidden="false" customHeight="false" outlineLevel="0" collapsed="false">
      <c r="A42" s="13" t="n">
        <v>40</v>
      </c>
      <c r="B42" s="14" t="n">
        <f aca="false">IF(A42&gt;=Calculator!$C$5,"",A42/Calculator!$C$5)</f>
        <v>0.8</v>
      </c>
      <c r="C42" s="15" t="n">
        <f aca="false">IF(A42&gt;=Calculator!$C$5,"",IF(A42=0,1/Calculator!$C$5,(A42/Calculator!$C$5)*SUMPRODUCT(($E$2:$E$101&gt;=A42)*($E$2:$E$101&lt;=Calculator!$C$5-1)/$E$2:$E$101)))</f>
        <v>0.180529839514439</v>
      </c>
      <c r="E42" s="16" t="n">
        <v>41</v>
      </c>
    </row>
    <row r="43" customFormat="false" ht="15" hidden="false" customHeight="false" outlineLevel="0" collapsed="false">
      <c r="A43" s="13" t="n">
        <v>41</v>
      </c>
      <c r="B43" s="14" t="n">
        <f aca="false">IF(A43&gt;=Calculator!$C$5,"",A43/Calculator!$C$5)</f>
        <v>0.82</v>
      </c>
      <c r="C43" s="15" t="n">
        <f aca="false">IF(A43&gt;=Calculator!$C$5,"",IF(A43=0,1/Calculator!$C$5,(A43/Calculator!$C$5)*SUMPRODUCT(($E$2:$E$101&gt;=A43)*($E$2:$E$101&lt;=Calculator!$C$5-1)/$E$2:$E$101)))</f>
        <v>0.1645430855023</v>
      </c>
      <c r="E43" s="16" t="n">
        <v>42</v>
      </c>
    </row>
    <row r="44" customFormat="false" ht="15" hidden="false" customHeight="false" outlineLevel="0" collapsed="false">
      <c r="A44" s="13" t="n">
        <v>42</v>
      </c>
      <c r="B44" s="14" t="n">
        <f aca="false">IF(A44&gt;=Calculator!$C$5,"",A44/Calculator!$C$5)</f>
        <v>0.84</v>
      </c>
      <c r="C44" s="15" t="n">
        <f aca="false">IF(A44&gt;=Calculator!$C$5,"",IF(A44=0,1/Calculator!$C$5,(A44/Calculator!$C$5)*SUMPRODUCT(($E$2:$E$101&gt;=A44)*($E$2:$E$101&lt;=Calculator!$C$5-1)/$E$2:$E$101)))</f>
        <v>0.148068526612112</v>
      </c>
      <c r="E44" s="16" t="n">
        <v>43</v>
      </c>
    </row>
    <row r="45" customFormat="false" ht="15" hidden="false" customHeight="false" outlineLevel="0" collapsed="false">
      <c r="A45" s="13" t="n">
        <v>43</v>
      </c>
      <c r="B45" s="14" t="n">
        <f aca="false">IF(A45&gt;=Calculator!$C$5,"",A45/Calculator!$C$5)</f>
        <v>0.86</v>
      </c>
      <c r="C45" s="15" t="n">
        <f aca="false">IF(A45&gt;=Calculator!$C$5,"",IF(A45=0,1/Calculator!$C$5,(A45/Calculator!$C$5)*SUMPRODUCT(($E$2:$E$101&gt;=A45)*($E$2:$E$101&lt;=Calculator!$C$5-1)/$E$2:$E$101)))</f>
        <v>0.131117777245734</v>
      </c>
      <c r="E45" s="16" t="n">
        <v>44</v>
      </c>
    </row>
    <row r="46" customFormat="false" ht="15" hidden="false" customHeight="false" outlineLevel="0" collapsed="false">
      <c r="A46" s="13" t="n">
        <v>44</v>
      </c>
      <c r="B46" s="14" t="n">
        <f aca="false">IF(A46&gt;=Calculator!$C$5,"",A46/Calculator!$C$5)</f>
        <v>0.88</v>
      </c>
      <c r="C46" s="15" t="n">
        <f aca="false">IF(A46&gt;=Calculator!$C$5,"",IF(A46=0,1/Calculator!$C$5,(A46/Calculator!$C$5)*SUMPRODUCT(($E$2:$E$101&gt;=A46)*($E$2:$E$101&lt;=Calculator!$C$5-1)/$E$2:$E$101)))</f>
        <v>0.113701911600286</v>
      </c>
      <c r="E46" s="16" t="n">
        <v>45</v>
      </c>
    </row>
    <row r="47" customFormat="false" ht="15" hidden="false" customHeight="false" outlineLevel="0" collapsed="false">
      <c r="A47" s="13" t="n">
        <v>45</v>
      </c>
      <c r="B47" s="14" t="n">
        <f aca="false">IF(A47&gt;=Calculator!$C$5,"",A47/Calculator!$C$5)</f>
        <v>0.9</v>
      </c>
      <c r="C47" s="15" t="n">
        <f aca="false">IF(A47&gt;=Calculator!$C$5,"",IF(A47=0,1/Calculator!$C$5,(A47/Calculator!$C$5)*SUMPRODUCT(($E$2:$E$101&gt;=A47)*($E$2:$E$101&lt;=Calculator!$C$5-1)/$E$2:$E$101)))</f>
        <v>0.0958315005002926</v>
      </c>
      <c r="E47" s="16" t="n">
        <v>46</v>
      </c>
    </row>
    <row r="48" customFormat="false" ht="15" hidden="false" customHeight="false" outlineLevel="0" collapsed="false">
      <c r="A48" s="13" t="n">
        <v>46</v>
      </c>
      <c r="B48" s="14" t="n">
        <f aca="false">IF(A48&gt;=Calculator!$C$5,"",A48/Calculator!$C$5)</f>
        <v>0.92</v>
      </c>
      <c r="C48" s="15" t="n">
        <f aca="false">IF(A48&gt;=Calculator!$C$5,"",IF(A48=0,1/Calculator!$C$5,(A48/Calculator!$C$5)*SUMPRODUCT(($E$2:$E$101&gt;=A48)*($E$2:$E$101&lt;=Calculator!$C$5-1)/$E$2:$E$101)))</f>
        <v>0.0775166449558547</v>
      </c>
      <c r="E48" s="16" t="n">
        <v>47</v>
      </c>
    </row>
    <row r="49" customFormat="false" ht="15" hidden="false" customHeight="false" outlineLevel="0" collapsed="false">
      <c r="A49" s="13" t="n">
        <v>47</v>
      </c>
      <c r="B49" s="14" t="n">
        <f aca="false">IF(A49&gt;=Calculator!$C$5,"",A49/Calculator!$C$5)</f>
        <v>0.94</v>
      </c>
      <c r="C49" s="15" t="n">
        <f aca="false">IF(A49&gt;=Calculator!$C$5,"",IF(A49=0,1/Calculator!$C$5,(A49/Calculator!$C$5)*SUMPRODUCT(($E$2:$E$101&gt;=A49)*($E$2:$E$101&lt;=Calculator!$C$5-1)/$E$2:$E$101)))</f>
        <v>0.0587670068027211</v>
      </c>
      <c r="E49" s="16" t="n">
        <v>48</v>
      </c>
    </row>
    <row r="50" customFormat="false" ht="15" hidden="false" customHeight="false" outlineLevel="0" collapsed="false">
      <c r="A50" s="13" t="n">
        <v>48</v>
      </c>
      <c r="B50" s="14" t="n">
        <f aca="false">IF(A50&gt;=Calculator!$C$5,"",A50/Calculator!$C$5)</f>
        <v>0.96</v>
      </c>
      <c r="C50" s="15" t="n">
        <f aca="false">IF(A50&gt;=Calculator!$C$5,"",IF(A50=0,1/Calculator!$C$5,(A50/Calculator!$C$5)*SUMPRODUCT(($E$2:$E$101&gt;=A50)*($E$2:$E$101&lt;=Calculator!$C$5-1)/$E$2:$E$101)))</f>
        <v>0.0395918367346939</v>
      </c>
      <c r="E50" s="16" t="n">
        <v>49</v>
      </c>
    </row>
    <row r="51" customFormat="false" ht="15" hidden="false" customHeight="false" outlineLevel="0" collapsed="false">
      <c r="A51" s="13" t="n">
        <v>49</v>
      </c>
      <c r="B51" s="14" t="n">
        <f aca="false">IF(A51&gt;=Calculator!$C$5,"",A51/Calculator!$C$5)</f>
        <v>0.98</v>
      </c>
      <c r="C51" s="15" t="n">
        <f aca="false">IF(A51&gt;=Calculator!$C$5,"",IF(A51=0,1/Calculator!$C$5,(A51/Calculator!$C$5)*SUMPRODUCT(($E$2:$E$101&gt;=A51)*($E$2:$E$101&lt;=Calculator!$C$5-1)/$E$2:$E$101)))</f>
        <v>0.02</v>
      </c>
      <c r="E51" s="16" t="n">
        <v>50</v>
      </c>
    </row>
    <row r="52" customFormat="false" ht="15" hidden="false" customHeight="false" outlineLevel="0" collapsed="false">
      <c r="A52" s="13" t="n">
        <v>50</v>
      </c>
      <c r="B52" s="14" t="str">
        <f aca="false">IF(A52&gt;=Calculator!$C$5,"",A52/Calculator!$C$5)</f>
        <v/>
      </c>
      <c r="C52" s="15" t="str">
        <f aca="false">IF(A52&gt;=Calculator!$C$5,"",IF(A52=0,1/Calculator!$C$5,(A52/Calculator!$C$5)*SUMPRODUCT(($E$2:$E$101&gt;=A52)*($E$2:$E$101&lt;=Calculator!$C$5-1)/$E$2:$E$101)))</f>
        <v/>
      </c>
      <c r="E52" s="16" t="n">
        <v>51</v>
      </c>
    </row>
    <row r="53" customFormat="false" ht="15" hidden="false" customHeight="false" outlineLevel="0" collapsed="false">
      <c r="A53" s="13" t="n">
        <v>51</v>
      </c>
      <c r="B53" s="14" t="str">
        <f aca="false">IF(A53&gt;=Calculator!$C$5,"",A53/Calculator!$C$5)</f>
        <v/>
      </c>
      <c r="C53" s="15" t="str">
        <f aca="false">IF(A53&gt;=Calculator!$C$5,"",IF(A53=0,1/Calculator!$C$5,(A53/Calculator!$C$5)*SUMPRODUCT(($E$2:$E$101&gt;=A53)*($E$2:$E$101&lt;=Calculator!$C$5-1)/$E$2:$E$101)))</f>
        <v/>
      </c>
      <c r="E53" s="16" t="n">
        <v>52</v>
      </c>
    </row>
    <row r="54" customFormat="false" ht="15" hidden="false" customHeight="false" outlineLevel="0" collapsed="false">
      <c r="A54" s="13" t="n">
        <v>52</v>
      </c>
      <c r="B54" s="14" t="str">
        <f aca="false">IF(A54&gt;=Calculator!$C$5,"",A54/Calculator!$C$5)</f>
        <v/>
      </c>
      <c r="C54" s="15" t="str">
        <f aca="false">IF(A54&gt;=Calculator!$C$5,"",IF(A54=0,1/Calculator!$C$5,(A54/Calculator!$C$5)*SUMPRODUCT(($E$2:$E$101&gt;=A54)*($E$2:$E$101&lt;=Calculator!$C$5-1)/$E$2:$E$101)))</f>
        <v/>
      </c>
      <c r="E54" s="16" t="n">
        <v>53</v>
      </c>
    </row>
    <row r="55" customFormat="false" ht="15" hidden="false" customHeight="false" outlineLevel="0" collapsed="false">
      <c r="A55" s="13" t="n">
        <v>53</v>
      </c>
      <c r="B55" s="14" t="str">
        <f aca="false">IF(A55&gt;=Calculator!$C$5,"",A55/Calculator!$C$5)</f>
        <v/>
      </c>
      <c r="C55" s="15" t="str">
        <f aca="false">IF(A55&gt;=Calculator!$C$5,"",IF(A55=0,1/Calculator!$C$5,(A55/Calculator!$C$5)*SUMPRODUCT(($E$2:$E$101&gt;=A55)*($E$2:$E$101&lt;=Calculator!$C$5-1)/$E$2:$E$101)))</f>
        <v/>
      </c>
      <c r="E55" s="16" t="n">
        <v>54</v>
      </c>
    </row>
    <row r="56" customFormat="false" ht="15" hidden="false" customHeight="false" outlineLevel="0" collapsed="false">
      <c r="A56" s="13" t="n">
        <v>54</v>
      </c>
      <c r="B56" s="14" t="str">
        <f aca="false">IF(A56&gt;=Calculator!$C$5,"",A56/Calculator!$C$5)</f>
        <v/>
      </c>
      <c r="C56" s="15" t="str">
        <f aca="false">IF(A56&gt;=Calculator!$C$5,"",IF(A56=0,1/Calculator!$C$5,(A56/Calculator!$C$5)*SUMPRODUCT(($E$2:$E$101&gt;=A56)*($E$2:$E$101&lt;=Calculator!$C$5-1)/$E$2:$E$101)))</f>
        <v/>
      </c>
      <c r="E56" s="16" t="n">
        <v>55</v>
      </c>
    </row>
    <row r="57" customFormat="false" ht="15" hidden="false" customHeight="false" outlineLevel="0" collapsed="false">
      <c r="A57" s="13" t="n">
        <v>55</v>
      </c>
      <c r="B57" s="14" t="str">
        <f aca="false">IF(A57&gt;=Calculator!$C$5,"",A57/Calculator!$C$5)</f>
        <v/>
      </c>
      <c r="C57" s="15" t="str">
        <f aca="false">IF(A57&gt;=Calculator!$C$5,"",IF(A57=0,1/Calculator!$C$5,(A57/Calculator!$C$5)*SUMPRODUCT(($E$2:$E$101&gt;=A57)*($E$2:$E$101&lt;=Calculator!$C$5-1)/$E$2:$E$101)))</f>
        <v/>
      </c>
      <c r="E57" s="16" t="n">
        <v>56</v>
      </c>
    </row>
    <row r="58" customFormat="false" ht="15" hidden="false" customHeight="false" outlineLevel="0" collapsed="false">
      <c r="A58" s="13" t="n">
        <v>56</v>
      </c>
      <c r="B58" s="14" t="str">
        <f aca="false">IF(A58&gt;=Calculator!$C$5,"",A58/Calculator!$C$5)</f>
        <v/>
      </c>
      <c r="C58" s="15" t="str">
        <f aca="false">IF(A58&gt;=Calculator!$C$5,"",IF(A58=0,1/Calculator!$C$5,(A58/Calculator!$C$5)*SUMPRODUCT(($E$2:$E$101&gt;=A58)*($E$2:$E$101&lt;=Calculator!$C$5-1)/$E$2:$E$101)))</f>
        <v/>
      </c>
      <c r="E58" s="16" t="n">
        <v>57</v>
      </c>
    </row>
    <row r="59" customFormat="false" ht="15" hidden="false" customHeight="false" outlineLevel="0" collapsed="false">
      <c r="A59" s="13" t="n">
        <v>57</v>
      </c>
      <c r="B59" s="14" t="str">
        <f aca="false">IF(A59&gt;=Calculator!$C$5,"",A59/Calculator!$C$5)</f>
        <v/>
      </c>
      <c r="C59" s="15" t="str">
        <f aca="false">IF(A59&gt;=Calculator!$C$5,"",IF(A59=0,1/Calculator!$C$5,(A59/Calculator!$C$5)*SUMPRODUCT(($E$2:$E$101&gt;=A59)*($E$2:$E$101&lt;=Calculator!$C$5-1)/$E$2:$E$101)))</f>
        <v/>
      </c>
      <c r="E59" s="16" t="n">
        <v>58</v>
      </c>
    </row>
    <row r="60" customFormat="false" ht="15" hidden="false" customHeight="false" outlineLevel="0" collapsed="false">
      <c r="A60" s="13" t="n">
        <v>58</v>
      </c>
      <c r="B60" s="14" t="str">
        <f aca="false">IF(A60&gt;=Calculator!$C$5,"",A60/Calculator!$C$5)</f>
        <v/>
      </c>
      <c r="C60" s="15" t="str">
        <f aca="false">IF(A60&gt;=Calculator!$C$5,"",IF(A60=0,1/Calculator!$C$5,(A60/Calculator!$C$5)*SUMPRODUCT(($E$2:$E$101&gt;=A60)*($E$2:$E$101&lt;=Calculator!$C$5-1)/$E$2:$E$101)))</f>
        <v/>
      </c>
      <c r="E60" s="16" t="n">
        <v>59</v>
      </c>
    </row>
    <row r="61" customFormat="false" ht="15" hidden="false" customHeight="false" outlineLevel="0" collapsed="false">
      <c r="A61" s="13" t="n">
        <v>59</v>
      </c>
      <c r="B61" s="14" t="str">
        <f aca="false">IF(A61&gt;=Calculator!$C$5,"",A61/Calculator!$C$5)</f>
        <v/>
      </c>
      <c r="C61" s="15" t="str">
        <f aca="false">IF(A61&gt;=Calculator!$C$5,"",IF(A61=0,1/Calculator!$C$5,(A61/Calculator!$C$5)*SUMPRODUCT(($E$2:$E$101&gt;=A61)*($E$2:$E$101&lt;=Calculator!$C$5-1)/$E$2:$E$101)))</f>
        <v/>
      </c>
      <c r="E61" s="16" t="n">
        <v>60</v>
      </c>
    </row>
    <row r="62" customFormat="false" ht="15" hidden="false" customHeight="false" outlineLevel="0" collapsed="false">
      <c r="A62" s="13" t="n">
        <v>60</v>
      </c>
      <c r="B62" s="14" t="str">
        <f aca="false">IF(A62&gt;=Calculator!$C$5,"",A62/Calculator!$C$5)</f>
        <v/>
      </c>
      <c r="C62" s="15" t="str">
        <f aca="false">IF(A62&gt;=Calculator!$C$5,"",IF(A62=0,1/Calculator!$C$5,(A62/Calculator!$C$5)*SUMPRODUCT(($E$2:$E$101&gt;=A62)*($E$2:$E$101&lt;=Calculator!$C$5-1)/$E$2:$E$101)))</f>
        <v/>
      </c>
      <c r="E62" s="16" t="n">
        <v>61</v>
      </c>
    </row>
    <row r="63" customFormat="false" ht="15" hidden="false" customHeight="false" outlineLevel="0" collapsed="false">
      <c r="A63" s="13" t="n">
        <v>61</v>
      </c>
      <c r="B63" s="14" t="str">
        <f aca="false">IF(A63&gt;=Calculator!$C$5,"",A63/Calculator!$C$5)</f>
        <v/>
      </c>
      <c r="C63" s="15" t="str">
        <f aca="false">IF(A63&gt;=Calculator!$C$5,"",IF(A63=0,1/Calculator!$C$5,(A63/Calculator!$C$5)*SUMPRODUCT(($E$2:$E$101&gt;=A63)*($E$2:$E$101&lt;=Calculator!$C$5-1)/$E$2:$E$101)))</f>
        <v/>
      </c>
      <c r="E63" s="16" t="n">
        <v>62</v>
      </c>
    </row>
    <row r="64" customFormat="false" ht="15" hidden="false" customHeight="false" outlineLevel="0" collapsed="false">
      <c r="A64" s="13" t="n">
        <v>62</v>
      </c>
      <c r="B64" s="14" t="str">
        <f aca="false">IF(A64&gt;=Calculator!$C$5,"",A64/Calculator!$C$5)</f>
        <v/>
      </c>
      <c r="C64" s="15" t="str">
        <f aca="false">IF(A64&gt;=Calculator!$C$5,"",IF(A64=0,1/Calculator!$C$5,(A64/Calculator!$C$5)*SUMPRODUCT(($E$2:$E$101&gt;=A64)*($E$2:$E$101&lt;=Calculator!$C$5-1)/$E$2:$E$101)))</f>
        <v/>
      </c>
      <c r="E64" s="16" t="n">
        <v>63</v>
      </c>
    </row>
    <row r="65" customFormat="false" ht="15" hidden="false" customHeight="false" outlineLevel="0" collapsed="false">
      <c r="A65" s="13" t="n">
        <v>63</v>
      </c>
      <c r="B65" s="14" t="str">
        <f aca="false">IF(A65&gt;=Calculator!$C$5,"",A65/Calculator!$C$5)</f>
        <v/>
      </c>
      <c r="C65" s="15" t="str">
        <f aca="false">IF(A65&gt;=Calculator!$C$5,"",IF(A65=0,1/Calculator!$C$5,(A65/Calculator!$C$5)*SUMPRODUCT(($E$2:$E$101&gt;=A65)*($E$2:$E$101&lt;=Calculator!$C$5-1)/$E$2:$E$101)))</f>
        <v/>
      </c>
      <c r="E65" s="16" t="n">
        <v>64</v>
      </c>
    </row>
    <row r="66" customFormat="false" ht="15" hidden="false" customHeight="false" outlineLevel="0" collapsed="false">
      <c r="A66" s="13" t="n">
        <v>64</v>
      </c>
      <c r="B66" s="14" t="str">
        <f aca="false">IF(A66&gt;=Calculator!$C$5,"",A66/Calculator!$C$5)</f>
        <v/>
      </c>
      <c r="C66" s="15" t="str">
        <f aca="false">IF(A66&gt;=Calculator!$C$5,"",IF(A66=0,1/Calculator!$C$5,(A66/Calculator!$C$5)*SUMPRODUCT(($E$2:$E$101&gt;=A66)*($E$2:$E$101&lt;=Calculator!$C$5-1)/$E$2:$E$101)))</f>
        <v/>
      </c>
      <c r="E66" s="16" t="n">
        <v>65</v>
      </c>
    </row>
    <row r="67" customFormat="false" ht="15" hidden="false" customHeight="false" outlineLevel="0" collapsed="false">
      <c r="A67" s="13" t="n">
        <v>65</v>
      </c>
      <c r="B67" s="14" t="str">
        <f aca="false">IF(A67&gt;=Calculator!$C$5,"",A67/Calculator!$C$5)</f>
        <v/>
      </c>
      <c r="C67" s="15" t="str">
        <f aca="false">IF(A67&gt;=Calculator!$C$5,"",IF(A67=0,1/Calculator!$C$5,(A67/Calculator!$C$5)*SUMPRODUCT(($E$2:$E$101&gt;=A67)*($E$2:$E$101&lt;=Calculator!$C$5-1)/$E$2:$E$101)))</f>
        <v/>
      </c>
      <c r="E67" s="16" t="n">
        <v>66</v>
      </c>
    </row>
    <row r="68" customFormat="false" ht="15" hidden="false" customHeight="false" outlineLevel="0" collapsed="false">
      <c r="A68" s="13" t="n">
        <v>66</v>
      </c>
      <c r="B68" s="14" t="str">
        <f aca="false">IF(A68&gt;=Calculator!$C$5,"",A68/Calculator!$C$5)</f>
        <v/>
      </c>
      <c r="C68" s="15" t="str">
        <f aca="false">IF(A68&gt;=Calculator!$C$5,"",IF(A68=0,1/Calculator!$C$5,(A68/Calculator!$C$5)*SUMPRODUCT(($E$2:$E$101&gt;=A68)*($E$2:$E$101&lt;=Calculator!$C$5-1)/$E$2:$E$101)))</f>
        <v/>
      </c>
      <c r="E68" s="16" t="n">
        <v>67</v>
      </c>
    </row>
    <row r="69" customFormat="false" ht="15" hidden="false" customHeight="false" outlineLevel="0" collapsed="false">
      <c r="A69" s="13" t="n">
        <v>67</v>
      </c>
      <c r="B69" s="14" t="str">
        <f aca="false">IF(A69&gt;=Calculator!$C$5,"",A69/Calculator!$C$5)</f>
        <v/>
      </c>
      <c r="C69" s="15" t="str">
        <f aca="false">IF(A69&gt;=Calculator!$C$5,"",IF(A69=0,1/Calculator!$C$5,(A69/Calculator!$C$5)*SUMPRODUCT(($E$2:$E$101&gt;=A69)*($E$2:$E$101&lt;=Calculator!$C$5-1)/$E$2:$E$101)))</f>
        <v/>
      </c>
      <c r="E69" s="16" t="n">
        <v>68</v>
      </c>
    </row>
    <row r="70" customFormat="false" ht="15" hidden="false" customHeight="false" outlineLevel="0" collapsed="false">
      <c r="A70" s="13" t="n">
        <v>68</v>
      </c>
      <c r="B70" s="14" t="str">
        <f aca="false">IF(A70&gt;=Calculator!$C$5,"",A70/Calculator!$C$5)</f>
        <v/>
      </c>
      <c r="C70" s="15" t="str">
        <f aca="false">IF(A70&gt;=Calculator!$C$5,"",IF(A70=0,1/Calculator!$C$5,(A70/Calculator!$C$5)*SUMPRODUCT(($E$2:$E$101&gt;=A70)*($E$2:$E$101&lt;=Calculator!$C$5-1)/$E$2:$E$101)))</f>
        <v/>
      </c>
      <c r="E70" s="16" t="n">
        <v>69</v>
      </c>
    </row>
    <row r="71" customFormat="false" ht="15" hidden="false" customHeight="false" outlineLevel="0" collapsed="false">
      <c r="A71" s="13" t="n">
        <v>69</v>
      </c>
      <c r="B71" s="14" t="str">
        <f aca="false">IF(A71&gt;=Calculator!$C$5,"",A71/Calculator!$C$5)</f>
        <v/>
      </c>
      <c r="C71" s="15" t="str">
        <f aca="false">IF(A71&gt;=Calculator!$C$5,"",IF(A71=0,1/Calculator!$C$5,(A71/Calculator!$C$5)*SUMPRODUCT(($E$2:$E$101&gt;=A71)*($E$2:$E$101&lt;=Calculator!$C$5-1)/$E$2:$E$101)))</f>
        <v/>
      </c>
      <c r="E71" s="16" t="n">
        <v>70</v>
      </c>
    </row>
    <row r="72" customFormat="false" ht="15" hidden="false" customHeight="false" outlineLevel="0" collapsed="false">
      <c r="A72" s="13" t="n">
        <v>70</v>
      </c>
      <c r="B72" s="14" t="str">
        <f aca="false">IF(A72&gt;=Calculator!$C$5,"",A72/Calculator!$C$5)</f>
        <v/>
      </c>
      <c r="C72" s="15" t="str">
        <f aca="false">IF(A72&gt;=Calculator!$C$5,"",IF(A72=0,1/Calculator!$C$5,(A72/Calculator!$C$5)*SUMPRODUCT(($E$2:$E$101&gt;=A72)*($E$2:$E$101&lt;=Calculator!$C$5-1)/$E$2:$E$101)))</f>
        <v/>
      </c>
      <c r="E72" s="16" t="n">
        <v>71</v>
      </c>
    </row>
    <row r="73" customFormat="false" ht="15" hidden="false" customHeight="false" outlineLevel="0" collapsed="false">
      <c r="A73" s="13" t="n">
        <v>71</v>
      </c>
      <c r="B73" s="14" t="str">
        <f aca="false">IF(A73&gt;=Calculator!$C$5,"",A73/Calculator!$C$5)</f>
        <v/>
      </c>
      <c r="C73" s="15" t="str">
        <f aca="false">IF(A73&gt;=Calculator!$C$5,"",IF(A73=0,1/Calculator!$C$5,(A73/Calculator!$C$5)*SUMPRODUCT(($E$2:$E$101&gt;=A73)*($E$2:$E$101&lt;=Calculator!$C$5-1)/$E$2:$E$101)))</f>
        <v/>
      </c>
      <c r="E73" s="16" t="n">
        <v>72</v>
      </c>
    </row>
    <row r="74" customFormat="false" ht="15" hidden="false" customHeight="false" outlineLevel="0" collapsed="false">
      <c r="A74" s="13" t="n">
        <v>72</v>
      </c>
      <c r="B74" s="14" t="str">
        <f aca="false">IF(A74&gt;=Calculator!$C$5,"",A74/Calculator!$C$5)</f>
        <v/>
      </c>
      <c r="C74" s="15" t="str">
        <f aca="false">IF(A74&gt;=Calculator!$C$5,"",IF(A74=0,1/Calculator!$C$5,(A74/Calculator!$C$5)*SUMPRODUCT(($E$2:$E$101&gt;=A74)*($E$2:$E$101&lt;=Calculator!$C$5-1)/$E$2:$E$101)))</f>
        <v/>
      </c>
      <c r="E74" s="16" t="n">
        <v>73</v>
      </c>
    </row>
    <row r="75" customFormat="false" ht="15" hidden="false" customHeight="false" outlineLevel="0" collapsed="false">
      <c r="A75" s="13" t="n">
        <v>73</v>
      </c>
      <c r="B75" s="14" t="str">
        <f aca="false">IF(A75&gt;=Calculator!$C$5,"",A75/Calculator!$C$5)</f>
        <v/>
      </c>
      <c r="C75" s="15" t="str">
        <f aca="false">IF(A75&gt;=Calculator!$C$5,"",IF(A75=0,1/Calculator!$C$5,(A75/Calculator!$C$5)*SUMPRODUCT(($E$2:$E$101&gt;=A75)*($E$2:$E$101&lt;=Calculator!$C$5-1)/$E$2:$E$101)))</f>
        <v/>
      </c>
      <c r="E75" s="16" t="n">
        <v>74</v>
      </c>
    </row>
    <row r="76" customFormat="false" ht="15" hidden="false" customHeight="false" outlineLevel="0" collapsed="false">
      <c r="A76" s="13" t="n">
        <v>74</v>
      </c>
      <c r="B76" s="14" t="str">
        <f aca="false">IF(A76&gt;=Calculator!$C$5,"",A76/Calculator!$C$5)</f>
        <v/>
      </c>
      <c r="C76" s="15" t="str">
        <f aca="false">IF(A76&gt;=Calculator!$C$5,"",IF(A76=0,1/Calculator!$C$5,(A76/Calculator!$C$5)*SUMPRODUCT(($E$2:$E$101&gt;=A76)*($E$2:$E$101&lt;=Calculator!$C$5-1)/$E$2:$E$101)))</f>
        <v/>
      </c>
      <c r="E76" s="16" t="n">
        <v>75</v>
      </c>
    </row>
    <row r="77" customFormat="false" ht="15" hidden="false" customHeight="false" outlineLevel="0" collapsed="false">
      <c r="A77" s="13" t="n">
        <v>75</v>
      </c>
      <c r="B77" s="14" t="str">
        <f aca="false">IF(A77&gt;=Calculator!$C$5,"",A77/Calculator!$C$5)</f>
        <v/>
      </c>
      <c r="C77" s="15" t="str">
        <f aca="false">IF(A77&gt;=Calculator!$C$5,"",IF(A77=0,1/Calculator!$C$5,(A77/Calculator!$C$5)*SUMPRODUCT(($E$2:$E$101&gt;=A77)*($E$2:$E$101&lt;=Calculator!$C$5-1)/$E$2:$E$101)))</f>
        <v/>
      </c>
      <c r="E77" s="16" t="n">
        <v>76</v>
      </c>
    </row>
    <row r="78" customFormat="false" ht="15" hidden="false" customHeight="false" outlineLevel="0" collapsed="false">
      <c r="A78" s="13" t="n">
        <v>76</v>
      </c>
      <c r="B78" s="14" t="str">
        <f aca="false">IF(A78&gt;=Calculator!$C$5,"",A78/Calculator!$C$5)</f>
        <v/>
      </c>
      <c r="C78" s="15" t="str">
        <f aca="false">IF(A78&gt;=Calculator!$C$5,"",IF(A78=0,1/Calculator!$C$5,(A78/Calculator!$C$5)*SUMPRODUCT(($E$2:$E$101&gt;=A78)*($E$2:$E$101&lt;=Calculator!$C$5-1)/$E$2:$E$101)))</f>
        <v/>
      </c>
      <c r="E78" s="16" t="n">
        <v>77</v>
      </c>
    </row>
    <row r="79" customFormat="false" ht="15" hidden="false" customHeight="false" outlineLevel="0" collapsed="false">
      <c r="A79" s="13" t="n">
        <v>77</v>
      </c>
      <c r="B79" s="14" t="str">
        <f aca="false">IF(A79&gt;=Calculator!$C$5,"",A79/Calculator!$C$5)</f>
        <v/>
      </c>
      <c r="C79" s="15" t="str">
        <f aca="false">IF(A79&gt;=Calculator!$C$5,"",IF(A79=0,1/Calculator!$C$5,(A79/Calculator!$C$5)*SUMPRODUCT(($E$2:$E$101&gt;=A79)*($E$2:$E$101&lt;=Calculator!$C$5-1)/$E$2:$E$101)))</f>
        <v/>
      </c>
      <c r="E79" s="16" t="n">
        <v>78</v>
      </c>
    </row>
    <row r="80" customFormat="false" ht="15" hidden="false" customHeight="false" outlineLevel="0" collapsed="false">
      <c r="A80" s="13" t="n">
        <v>78</v>
      </c>
      <c r="B80" s="14" t="str">
        <f aca="false">IF(A80&gt;=Calculator!$C$5,"",A80/Calculator!$C$5)</f>
        <v/>
      </c>
      <c r="C80" s="15" t="str">
        <f aca="false">IF(A80&gt;=Calculator!$C$5,"",IF(A80=0,1/Calculator!$C$5,(A80/Calculator!$C$5)*SUMPRODUCT(($E$2:$E$101&gt;=A80)*($E$2:$E$101&lt;=Calculator!$C$5-1)/$E$2:$E$101)))</f>
        <v/>
      </c>
      <c r="E80" s="16" t="n">
        <v>79</v>
      </c>
    </row>
    <row r="81" customFormat="false" ht="15" hidden="false" customHeight="false" outlineLevel="0" collapsed="false">
      <c r="A81" s="13" t="n">
        <v>79</v>
      </c>
      <c r="B81" s="14" t="str">
        <f aca="false">IF(A81&gt;=Calculator!$C$5,"",A81/Calculator!$C$5)</f>
        <v/>
      </c>
      <c r="C81" s="15" t="str">
        <f aca="false">IF(A81&gt;=Calculator!$C$5,"",IF(A81=0,1/Calculator!$C$5,(A81/Calculator!$C$5)*SUMPRODUCT(($E$2:$E$101&gt;=A81)*($E$2:$E$101&lt;=Calculator!$C$5-1)/$E$2:$E$101)))</f>
        <v/>
      </c>
      <c r="E81" s="16" t="n">
        <v>80</v>
      </c>
    </row>
    <row r="82" customFormat="false" ht="15" hidden="false" customHeight="false" outlineLevel="0" collapsed="false">
      <c r="A82" s="13" t="n">
        <v>80</v>
      </c>
      <c r="B82" s="14" t="str">
        <f aca="false">IF(A82&gt;=Calculator!$C$5,"",A82/Calculator!$C$5)</f>
        <v/>
      </c>
      <c r="C82" s="15" t="str">
        <f aca="false">IF(A82&gt;=Calculator!$C$5,"",IF(A82=0,1/Calculator!$C$5,(A82/Calculator!$C$5)*SUMPRODUCT(($E$2:$E$101&gt;=A82)*($E$2:$E$101&lt;=Calculator!$C$5-1)/$E$2:$E$101)))</f>
        <v/>
      </c>
      <c r="E82" s="16" t="n">
        <v>81</v>
      </c>
    </row>
    <row r="83" customFormat="false" ht="15" hidden="false" customHeight="false" outlineLevel="0" collapsed="false">
      <c r="A83" s="13" t="n">
        <v>81</v>
      </c>
      <c r="B83" s="14" t="str">
        <f aca="false">IF(A83&gt;=Calculator!$C$5,"",A83/Calculator!$C$5)</f>
        <v/>
      </c>
      <c r="C83" s="15" t="str">
        <f aca="false">IF(A83&gt;=Calculator!$C$5,"",IF(A83=0,1/Calculator!$C$5,(A83/Calculator!$C$5)*SUMPRODUCT(($E$2:$E$101&gt;=A83)*($E$2:$E$101&lt;=Calculator!$C$5-1)/$E$2:$E$101)))</f>
        <v/>
      </c>
      <c r="E83" s="16" t="n">
        <v>82</v>
      </c>
    </row>
    <row r="84" customFormat="false" ht="15" hidden="false" customHeight="false" outlineLevel="0" collapsed="false">
      <c r="A84" s="13" t="n">
        <v>82</v>
      </c>
      <c r="B84" s="14" t="str">
        <f aca="false">IF(A84&gt;=Calculator!$C$5,"",A84/Calculator!$C$5)</f>
        <v/>
      </c>
      <c r="C84" s="15" t="str">
        <f aca="false">IF(A84&gt;=Calculator!$C$5,"",IF(A84=0,1/Calculator!$C$5,(A84/Calculator!$C$5)*SUMPRODUCT(($E$2:$E$101&gt;=A84)*($E$2:$E$101&lt;=Calculator!$C$5-1)/$E$2:$E$101)))</f>
        <v/>
      </c>
      <c r="E84" s="16" t="n">
        <v>83</v>
      </c>
    </row>
    <row r="85" customFormat="false" ht="15" hidden="false" customHeight="false" outlineLevel="0" collapsed="false">
      <c r="A85" s="13" t="n">
        <v>83</v>
      </c>
      <c r="B85" s="14" t="str">
        <f aca="false">IF(A85&gt;=Calculator!$C$5,"",A85/Calculator!$C$5)</f>
        <v/>
      </c>
      <c r="C85" s="15" t="str">
        <f aca="false">IF(A85&gt;=Calculator!$C$5,"",IF(A85=0,1/Calculator!$C$5,(A85/Calculator!$C$5)*SUMPRODUCT(($E$2:$E$101&gt;=A85)*($E$2:$E$101&lt;=Calculator!$C$5-1)/$E$2:$E$101)))</f>
        <v/>
      </c>
      <c r="E85" s="16" t="n">
        <v>84</v>
      </c>
    </row>
    <row r="86" customFormat="false" ht="15" hidden="false" customHeight="false" outlineLevel="0" collapsed="false">
      <c r="A86" s="13" t="n">
        <v>84</v>
      </c>
      <c r="B86" s="14" t="str">
        <f aca="false">IF(A86&gt;=Calculator!$C$5,"",A86/Calculator!$C$5)</f>
        <v/>
      </c>
      <c r="C86" s="15" t="str">
        <f aca="false">IF(A86&gt;=Calculator!$C$5,"",IF(A86=0,1/Calculator!$C$5,(A86/Calculator!$C$5)*SUMPRODUCT(($E$2:$E$101&gt;=A86)*($E$2:$E$101&lt;=Calculator!$C$5-1)/$E$2:$E$101)))</f>
        <v/>
      </c>
      <c r="E86" s="16" t="n">
        <v>85</v>
      </c>
    </row>
    <row r="87" customFormat="false" ht="15" hidden="false" customHeight="false" outlineLevel="0" collapsed="false">
      <c r="A87" s="13" t="n">
        <v>85</v>
      </c>
      <c r="B87" s="14" t="str">
        <f aca="false">IF(A87&gt;=Calculator!$C$5,"",A87/Calculator!$C$5)</f>
        <v/>
      </c>
      <c r="C87" s="15" t="str">
        <f aca="false">IF(A87&gt;=Calculator!$C$5,"",IF(A87=0,1/Calculator!$C$5,(A87/Calculator!$C$5)*SUMPRODUCT(($E$2:$E$101&gt;=A87)*($E$2:$E$101&lt;=Calculator!$C$5-1)/$E$2:$E$101)))</f>
        <v/>
      </c>
      <c r="E87" s="16" t="n">
        <v>86</v>
      </c>
    </row>
    <row r="88" customFormat="false" ht="15" hidden="false" customHeight="false" outlineLevel="0" collapsed="false">
      <c r="A88" s="13" t="n">
        <v>86</v>
      </c>
      <c r="B88" s="14" t="str">
        <f aca="false">IF(A88&gt;=Calculator!$C$5,"",A88/Calculator!$C$5)</f>
        <v/>
      </c>
      <c r="C88" s="15" t="str">
        <f aca="false">IF(A88&gt;=Calculator!$C$5,"",IF(A88=0,1/Calculator!$C$5,(A88/Calculator!$C$5)*SUMPRODUCT(($E$2:$E$101&gt;=A88)*($E$2:$E$101&lt;=Calculator!$C$5-1)/$E$2:$E$101)))</f>
        <v/>
      </c>
      <c r="E88" s="16" t="n">
        <v>87</v>
      </c>
    </row>
    <row r="89" customFormat="false" ht="15" hidden="false" customHeight="false" outlineLevel="0" collapsed="false">
      <c r="A89" s="13" t="n">
        <v>87</v>
      </c>
      <c r="B89" s="14" t="str">
        <f aca="false">IF(A89&gt;=Calculator!$C$5,"",A89/Calculator!$C$5)</f>
        <v/>
      </c>
      <c r="C89" s="15" t="str">
        <f aca="false">IF(A89&gt;=Calculator!$C$5,"",IF(A89=0,1/Calculator!$C$5,(A89/Calculator!$C$5)*SUMPRODUCT(($E$2:$E$101&gt;=A89)*($E$2:$E$101&lt;=Calculator!$C$5-1)/$E$2:$E$101)))</f>
        <v/>
      </c>
      <c r="E89" s="16" t="n">
        <v>88</v>
      </c>
    </row>
    <row r="90" customFormat="false" ht="15" hidden="false" customHeight="false" outlineLevel="0" collapsed="false">
      <c r="A90" s="13" t="n">
        <v>88</v>
      </c>
      <c r="B90" s="14" t="str">
        <f aca="false">IF(A90&gt;=Calculator!$C$5,"",A90/Calculator!$C$5)</f>
        <v/>
      </c>
      <c r="C90" s="15" t="str">
        <f aca="false">IF(A90&gt;=Calculator!$C$5,"",IF(A90=0,1/Calculator!$C$5,(A90/Calculator!$C$5)*SUMPRODUCT(($E$2:$E$101&gt;=A90)*($E$2:$E$101&lt;=Calculator!$C$5-1)/$E$2:$E$101)))</f>
        <v/>
      </c>
      <c r="E90" s="16" t="n">
        <v>89</v>
      </c>
    </row>
    <row r="91" customFormat="false" ht="15" hidden="false" customHeight="false" outlineLevel="0" collapsed="false">
      <c r="A91" s="13" t="n">
        <v>89</v>
      </c>
      <c r="B91" s="14" t="str">
        <f aca="false">IF(A91&gt;=Calculator!$C$5,"",A91/Calculator!$C$5)</f>
        <v/>
      </c>
      <c r="C91" s="15" t="str">
        <f aca="false">IF(A91&gt;=Calculator!$C$5,"",IF(A91=0,1/Calculator!$C$5,(A91/Calculator!$C$5)*SUMPRODUCT(($E$2:$E$101&gt;=A91)*($E$2:$E$101&lt;=Calculator!$C$5-1)/$E$2:$E$101)))</f>
        <v/>
      </c>
      <c r="E91" s="16" t="n">
        <v>90</v>
      </c>
    </row>
    <row r="92" customFormat="false" ht="15" hidden="false" customHeight="false" outlineLevel="0" collapsed="false">
      <c r="A92" s="13" t="n">
        <v>90</v>
      </c>
      <c r="B92" s="14" t="str">
        <f aca="false">IF(A92&gt;=Calculator!$C$5,"",A92/Calculator!$C$5)</f>
        <v/>
      </c>
      <c r="C92" s="15" t="str">
        <f aca="false">IF(A92&gt;=Calculator!$C$5,"",IF(A92=0,1/Calculator!$C$5,(A92/Calculator!$C$5)*SUMPRODUCT(($E$2:$E$101&gt;=A92)*($E$2:$E$101&lt;=Calculator!$C$5-1)/$E$2:$E$101)))</f>
        <v/>
      </c>
      <c r="E92" s="16" t="n">
        <v>91</v>
      </c>
    </row>
    <row r="93" customFormat="false" ht="15" hidden="false" customHeight="false" outlineLevel="0" collapsed="false">
      <c r="A93" s="13" t="n">
        <v>91</v>
      </c>
      <c r="B93" s="14" t="str">
        <f aca="false">IF(A93&gt;=Calculator!$C$5,"",A93/Calculator!$C$5)</f>
        <v/>
      </c>
      <c r="C93" s="15" t="str">
        <f aca="false">IF(A93&gt;=Calculator!$C$5,"",IF(A93=0,1/Calculator!$C$5,(A93/Calculator!$C$5)*SUMPRODUCT(($E$2:$E$101&gt;=A93)*($E$2:$E$101&lt;=Calculator!$C$5-1)/$E$2:$E$101)))</f>
        <v/>
      </c>
      <c r="E93" s="16" t="n">
        <v>92</v>
      </c>
    </row>
    <row r="94" customFormat="false" ht="15" hidden="false" customHeight="false" outlineLevel="0" collapsed="false">
      <c r="A94" s="13" t="n">
        <v>92</v>
      </c>
      <c r="B94" s="14" t="str">
        <f aca="false">IF(A94&gt;=Calculator!$C$5,"",A94/Calculator!$C$5)</f>
        <v/>
      </c>
      <c r="C94" s="15" t="str">
        <f aca="false">IF(A94&gt;=Calculator!$C$5,"",IF(A94=0,1/Calculator!$C$5,(A94/Calculator!$C$5)*SUMPRODUCT(($E$2:$E$101&gt;=A94)*($E$2:$E$101&lt;=Calculator!$C$5-1)/$E$2:$E$101)))</f>
        <v/>
      </c>
      <c r="E94" s="16" t="n">
        <v>93</v>
      </c>
    </row>
    <row r="95" customFormat="false" ht="15" hidden="false" customHeight="false" outlineLevel="0" collapsed="false">
      <c r="A95" s="13" t="n">
        <v>93</v>
      </c>
      <c r="B95" s="14" t="str">
        <f aca="false">IF(A95&gt;=Calculator!$C$5,"",A95/Calculator!$C$5)</f>
        <v/>
      </c>
      <c r="C95" s="15" t="str">
        <f aca="false">IF(A95&gt;=Calculator!$C$5,"",IF(A95=0,1/Calculator!$C$5,(A95/Calculator!$C$5)*SUMPRODUCT(($E$2:$E$101&gt;=A95)*($E$2:$E$101&lt;=Calculator!$C$5-1)/$E$2:$E$101)))</f>
        <v/>
      </c>
      <c r="E95" s="16" t="n">
        <v>94</v>
      </c>
    </row>
    <row r="96" customFormat="false" ht="15" hidden="false" customHeight="false" outlineLevel="0" collapsed="false">
      <c r="A96" s="13" t="n">
        <v>94</v>
      </c>
      <c r="B96" s="14" t="str">
        <f aca="false">IF(A96&gt;=Calculator!$C$5,"",A96/Calculator!$C$5)</f>
        <v/>
      </c>
      <c r="C96" s="15" t="str">
        <f aca="false">IF(A96&gt;=Calculator!$C$5,"",IF(A96=0,1/Calculator!$C$5,(A96/Calculator!$C$5)*SUMPRODUCT(($E$2:$E$101&gt;=A96)*($E$2:$E$101&lt;=Calculator!$C$5-1)/$E$2:$E$101)))</f>
        <v/>
      </c>
      <c r="E96" s="16" t="n">
        <v>95</v>
      </c>
    </row>
    <row r="97" customFormat="false" ht="15" hidden="false" customHeight="false" outlineLevel="0" collapsed="false">
      <c r="A97" s="13" t="n">
        <v>95</v>
      </c>
      <c r="B97" s="14" t="str">
        <f aca="false">IF(A97&gt;=Calculator!$C$5,"",A97/Calculator!$C$5)</f>
        <v/>
      </c>
      <c r="C97" s="15" t="str">
        <f aca="false">IF(A97&gt;=Calculator!$C$5,"",IF(A97=0,1/Calculator!$C$5,(A97/Calculator!$C$5)*SUMPRODUCT(($E$2:$E$101&gt;=A97)*($E$2:$E$101&lt;=Calculator!$C$5-1)/$E$2:$E$101)))</f>
        <v/>
      </c>
      <c r="E97" s="16" t="n">
        <v>96</v>
      </c>
    </row>
    <row r="98" customFormat="false" ht="15" hidden="false" customHeight="false" outlineLevel="0" collapsed="false">
      <c r="A98" s="13" t="n">
        <v>96</v>
      </c>
      <c r="B98" s="14" t="str">
        <f aca="false">IF(A98&gt;=Calculator!$C$5,"",A98/Calculator!$C$5)</f>
        <v/>
      </c>
      <c r="C98" s="15" t="str">
        <f aca="false">IF(A98&gt;=Calculator!$C$5,"",IF(A98=0,1/Calculator!$C$5,(A98/Calculator!$C$5)*SUMPRODUCT(($E$2:$E$101&gt;=A98)*($E$2:$E$101&lt;=Calculator!$C$5-1)/$E$2:$E$101)))</f>
        <v/>
      </c>
      <c r="E98" s="16" t="n">
        <v>97</v>
      </c>
    </row>
    <row r="99" customFormat="false" ht="15" hidden="false" customHeight="false" outlineLevel="0" collapsed="false">
      <c r="A99" s="13" t="n">
        <v>97</v>
      </c>
      <c r="B99" s="14" t="str">
        <f aca="false">IF(A99&gt;=Calculator!$C$5,"",A99/Calculator!$C$5)</f>
        <v/>
      </c>
      <c r="C99" s="15" t="str">
        <f aca="false">IF(A99&gt;=Calculator!$C$5,"",IF(A99=0,1/Calculator!$C$5,(A99/Calculator!$C$5)*SUMPRODUCT(($E$2:$E$101&gt;=A99)*($E$2:$E$101&lt;=Calculator!$C$5-1)/$E$2:$E$101)))</f>
        <v/>
      </c>
      <c r="E99" s="16" t="n">
        <v>98</v>
      </c>
    </row>
    <row r="100" customFormat="false" ht="15" hidden="false" customHeight="false" outlineLevel="0" collapsed="false">
      <c r="A100" s="13" t="n">
        <v>98</v>
      </c>
      <c r="B100" s="14" t="str">
        <f aca="false">IF(A100&gt;=Calculator!$C$5,"",A100/Calculator!$C$5)</f>
        <v/>
      </c>
      <c r="C100" s="15" t="str">
        <f aca="false">IF(A100&gt;=Calculator!$C$5,"",IF(A100=0,1/Calculator!$C$5,(A100/Calculator!$C$5)*SUMPRODUCT(($E$2:$E$101&gt;=A100)*($E$2:$E$101&lt;=Calculator!$C$5-1)/$E$2:$E$101)))</f>
        <v/>
      </c>
      <c r="E100" s="16" t="n">
        <v>99</v>
      </c>
    </row>
    <row r="101" customFormat="false" ht="15" hidden="false" customHeight="false" outlineLevel="0" collapsed="false">
      <c r="A101" s="13" t="n">
        <v>99</v>
      </c>
      <c r="B101" s="14" t="str">
        <f aca="false">IF(A101&gt;=Calculator!$C$5,"",A101/Calculator!$C$5)</f>
        <v/>
      </c>
      <c r="C101" s="15" t="str">
        <f aca="false">IF(A101&gt;=Calculator!$C$5,"",IF(A101=0,1/Calculator!$C$5,(A101/Calculator!$C$5)*SUMPRODUCT(($E$2:$E$101&gt;=A101)*($E$2:$E$101&lt;=Calculator!$C$5-1)/$E$2:$E$101)))</f>
        <v/>
      </c>
      <c r="E101" s="16" t="n">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2026-07-02T22:59:46Z</dcterms:created>
  <dc:creator>openpyxl</dc:creator>
  <dc:description/>
  <dc:language>en-US</dc:language>
  <cp:lastModifiedBy/>
  <dcterms:modified xsi:type="dcterms:W3CDTF">2026-07-02T22:59:48Z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