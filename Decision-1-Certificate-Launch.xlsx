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tor" sheetId="1" state="visible" r:id="rId3"/>
    <sheet name="Chart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<sst xmlns="http://schemas.openxmlformats.org/spreadsheetml/2006/main" count="36" uniqueCount="36">
  <si>
    <t xml:space="preserve">Decision 1  —  Certificate Launch</t>
  </si>
  <si>
    <t xml:space="preserve">Type your numbers into the yellow cells. The results and the chart update by themselves. All money is in $ thousands.</t>
  </si>
  <si>
    <t xml:space="preserve">INPUTS  —  change these</t>
  </si>
  <si>
    <t xml:space="preserve">Prior probability of high demand</t>
  </si>
  <si>
    <t xml:space="preserve">Chance of a favorable survey if demand is high</t>
  </si>
  <si>
    <t xml:space="preserve">Chance of a favorable survey if demand is low</t>
  </si>
  <si>
    <t xml:space="preserve">Payoff if you launch and demand is high</t>
  </si>
  <si>
    <t xml:space="preserve">Payoff if you launch and demand is low</t>
  </si>
  <si>
    <t xml:space="preserve">Payoff if you hold (do not launch)</t>
  </si>
  <si>
    <t xml:space="preserve">Risk tolerance R  (larger means less risk-averse)</t>
  </si>
  <si>
    <t xml:space="preserve">Probabilities take a value from 0 to 1. For no signal, set the two likelihoods equal.</t>
  </si>
  <si>
    <t xml:space="preserve">RESULTS  —  calculated for you</t>
  </si>
  <si>
    <t xml:space="preserve">Posterior probability of high demand</t>
  </si>
  <si>
    <t xml:space="preserve">Break-even probability (acting beats holding above this)</t>
  </si>
  <si>
    <t xml:space="preserve">Expected value of launching, at the prior</t>
  </si>
  <si>
    <t xml:space="preserve">Expected value of launching, at the posterior</t>
  </si>
  <si>
    <t xml:space="preserve">Certainty equivalent of launching, at the posterior</t>
  </si>
  <si>
    <t xml:space="preserve">Value of holding</t>
  </si>
  <si>
    <t xml:space="preserve">What the risk is worth (expected value minus certainty equivalent)</t>
  </si>
  <si>
    <t xml:space="preserve">RECOMMENDATION</t>
  </si>
  <si>
    <t xml:space="preserve">Ignoring risk (expected value vs hold)</t>
  </si>
  <si>
    <t xml:space="preserve">With risk (certainty equivalent vs hold)</t>
  </si>
  <si>
    <t xml:space="preserve">The two dashed vertical lines mark your current decision. The prior is where you stand before the signal and the posterior after it. Read the value where each line meets the navy expected-value line, or read it in the results above.</t>
  </si>
  <si>
    <t xml:space="preserve">p(good)</t>
  </si>
  <si>
    <t xml:space="preserve">Act (expected value)</t>
  </si>
  <si>
    <t xml:space="preserve">Hold</t>
  </si>
  <si>
    <t xml:space="preserve">Act (certainty equivalent)</t>
  </si>
  <si>
    <t xml:space="preserve">Marker</t>
  </si>
  <si>
    <t xml:space="preserve">p</t>
  </si>
  <si>
    <t xml:space="preserve">value</t>
  </si>
  <si>
    <t xml:space="preserve">priorX</t>
  </si>
  <si>
    <t xml:space="preserve">priorY</t>
  </si>
  <si>
    <t xml:space="preserve">postX</t>
  </si>
  <si>
    <t xml:space="preserve">postY</t>
  </si>
  <si>
    <t xml:space="preserve">Prior</t>
  </si>
  <si>
    <t xml:space="preserve">Posterior</t>
  </si>
</sst>
</file>

<file path=xl/styles.xml><?xml version="1.0" encoding="utf-8"?>
<styleSheet xmlns="http://schemas.openxmlformats.org/spreadsheetml/2006/main">
  <numFmts count="4">
    <numFmt numFmtId="164" formatCode="General"/>
    <numFmt numFmtId="165" formatCode="0.00"/>
    <numFmt numFmtId="166" formatCode="\$#,##0;&quot;($&quot;#,##0\)"/>
    <numFmt numFmtId="167" formatCode="0.0"/>
  </numFmts>
  <fonts count="19">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B6B7B"/>
      <name val="Arial"/>
      <family val="0"/>
      <charset val="1"/>
    </font>
    <font>
      <b val="true"/>
      <sz val="10"/>
      <color rgb="FFFFFFFF"/>
      <name val="Arial"/>
      <family val="0"/>
      <charset val="1"/>
    </font>
    <font>
      <sz val="10"/>
      <color rgb="FF1A2230"/>
      <name val="Arial"/>
      <family val="0"/>
      <charset val="1"/>
    </font>
    <font>
      <b val="true"/>
      <sz val="11"/>
      <color rgb="FF0000FF"/>
      <name val="Arial"/>
      <family val="0"/>
      <charset val="1"/>
    </font>
    <font>
      <i val="true"/>
      <sz val="8.5"/>
      <color rgb="FF5B6B7B"/>
      <name val="Arial"/>
      <family val="0"/>
      <charset val="1"/>
    </font>
    <font>
      <sz val="11"/>
      <color rgb="FF1A2230"/>
      <name val="Arial"/>
      <family val="0"/>
      <charset val="1"/>
    </font>
    <font>
      <b val="true"/>
      <sz val="12"/>
      <color rgb="FF041E42"/>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41E42"/>
      <name val="Arial"/>
      <family val="0"/>
      <charset val="1"/>
    </font>
    <font>
      <b val="true"/>
      <sz val="9"/>
      <color rgb="FF041E42"/>
      <name val="Arial"/>
      <family val="0"/>
      <charset val="1"/>
    </font>
    <font>
      <sz val="9"/>
      <name val="Arial"/>
      <family val="0"/>
      <charset val="1"/>
    </font>
    <font>
      <sz val="9"/>
      <color rgb="FF008000"/>
      <name val="Arial"/>
      <family val="0"/>
      <charset val="1"/>
    </font>
  </fonts>
  <fills count="5">
    <fill>
      <patternFill patternType="none"/>
    </fill>
    <fill>
      <patternFill patternType="gray125"/>
    </fill>
    <fill>
      <patternFill patternType="solid">
        <fgColor rgb="FF041E42"/>
        <bgColor rgb="FF1A2230"/>
      </patternFill>
    </fill>
    <fill>
      <patternFill patternType="solid">
        <fgColor rgb="FFFFF3C4"/>
        <bgColor rgb="FFFFFF99"/>
      </patternFill>
    </fill>
    <fill>
      <patternFill patternType="solid">
        <fgColor rgb="FFE8D8AA"/>
        <bgColor rgb="FFD9D9D9"/>
      </patternFill>
    </fill>
  </fills>
  <borders count="2">
    <border diagonalUp="false" diagonalDown="false">
      <left/>
      <right/>
      <top/>
      <bottom/>
      <diagonal/>
    </border>
    <border diagonalUp="false" diagonalDown="false">
      <left style="thin">
        <color rgb="FFC9C2B2"/>
      </left>
      <right style="thin">
        <color rgb="FFC9C2B2"/>
      </right>
      <top style="thin">
        <color rgb="FFC9C2B2"/>
      </top>
      <bottom style="thin">
        <color rgb="FFC9C2B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9C2B2"/>
      <rgbColor rgb="FF878787"/>
      <rgbColor rgb="FF9999FF"/>
      <rgbColor rgb="FF993366"/>
      <rgbColor rgb="FFFFF3C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8D8AA"/>
      <rgbColor rgb="FF2E75B6"/>
      <rgbColor rgb="FF33CCCC"/>
      <rgbColor rgb="FF99CC00"/>
      <rgbColor rgb="FFFFCC00"/>
      <rgbColor rgb="FFFF9900"/>
      <rgbColor rgb="FFFF6600"/>
      <rgbColor rgb="FF5B6B7B"/>
      <rgbColor rgb="FFB8933D"/>
      <rgbColor rgb="FF041E42"/>
      <rgbColor rgb="FF339966"/>
      <rgbColor rgb="FF003300"/>
      <rgbColor rgb="FF333300"/>
      <rgbColor rgb="FF993300"/>
      <rgbColor rgb="FF993366"/>
      <rgbColor rgb="FF333399"/>
      <rgbColor rgb="FF1A22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Value of acting against the probability of the good state</a:t>
            </a:r>
          </a:p>
        </c:rich>
      </c:tx>
      <c:overlay val="0"/>
      <c:spPr>
        <a:noFill/>
        <a:ln w="0">
          <a:noFill/>
        </a:ln>
      </c:spPr>
    </c:title>
    <c:autoTitleDeleted val="0"/>
    <c:plotArea>
      <c:scatterChart>
        <c:scatterStyle val="line"/>
        <c:varyColors val="0"/>
        <c:ser>
          <c:idx val="0"/>
          <c:order val="0"/>
          <c:tx>
            <c:strRef>
              <c:f>"Launch: expected value"</c:f>
              <c:strCache>
                <c:ptCount val="1"/>
                <c:pt idx="0">
                  <c:v>Launch: expected value</c:v>
                </c:pt>
              </c:strCache>
            </c:strRef>
          </c:tx>
          <c:spPr>
            <a:solidFill>
              <a:srgbClr val="041e42"/>
            </a:solidFill>
            <a:ln w="31680">
              <a:solidFill>
                <a:srgbClr val="041e4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ChartData!$A$2:$A$52</c:f>
              <c:numCache>
                <c:formatCode>0.00</c:formatCode>
                <c:ptCount val="51"/>
                <c:pt idx="0">
                  <c:v>0</c:v>
                </c:pt>
                <c:pt idx="1">
                  <c:v>0.02</c:v>
                </c:pt>
                <c:pt idx="2">
                  <c:v>0.04</c:v>
                </c:pt>
                <c:pt idx="3">
                  <c:v>0.06</c:v>
                </c:pt>
                <c:pt idx="4">
                  <c:v>0.08</c:v>
                </c:pt>
                <c:pt idx="5">
                  <c:v>0.1</c:v>
                </c:pt>
                <c:pt idx="6">
                  <c:v>0.12</c:v>
                </c:pt>
                <c:pt idx="7">
                  <c:v>0.14</c:v>
                </c:pt>
                <c:pt idx="8">
                  <c:v>0.16</c:v>
                </c:pt>
                <c:pt idx="9">
                  <c:v>0.18</c:v>
                </c:pt>
                <c:pt idx="10">
                  <c:v>0.2</c:v>
                </c:pt>
                <c:pt idx="11">
                  <c:v>0.22</c:v>
                </c:pt>
                <c:pt idx="12">
                  <c:v>0.24</c:v>
                </c:pt>
                <c:pt idx="13">
                  <c:v>0.26</c:v>
                </c:pt>
                <c:pt idx="14">
                  <c:v>0.28</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c:v>
                </c:pt>
                <c:pt idx="29">
                  <c:v>0.58</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numCache>
            </c:numRef>
          </c:xVal>
          <c:yVal>
            <c:numRef>
              <c:f>ChartData!$B$2:$B$52</c:f>
              <c:numCache>
                <c:formatCode>0.0</c:formatCode>
                <c:ptCount val="51"/>
                <c:pt idx="0">
                  <c:v>-200</c:v>
                </c:pt>
                <c:pt idx="1">
                  <c:v>-186</c:v>
                </c:pt>
                <c:pt idx="2">
                  <c:v>-172</c:v>
                </c:pt>
                <c:pt idx="3">
                  <c:v>-158</c:v>
                </c:pt>
                <c:pt idx="4">
                  <c:v>-144</c:v>
                </c:pt>
                <c:pt idx="5">
                  <c:v>-130</c:v>
                </c:pt>
                <c:pt idx="6">
                  <c:v>-116</c:v>
                </c:pt>
                <c:pt idx="7">
                  <c:v>-102</c:v>
                </c:pt>
                <c:pt idx="8">
                  <c:v>-88</c:v>
                </c:pt>
                <c:pt idx="9">
                  <c:v>-74</c:v>
                </c:pt>
                <c:pt idx="10">
                  <c:v>-60</c:v>
                </c:pt>
                <c:pt idx="11">
                  <c:v>-46</c:v>
                </c:pt>
                <c:pt idx="12">
                  <c:v>-32</c:v>
                </c:pt>
                <c:pt idx="13">
                  <c:v>-18</c:v>
                </c:pt>
                <c:pt idx="14">
                  <c:v>-4</c:v>
                </c:pt>
                <c:pt idx="15">
                  <c:v>10</c:v>
                </c:pt>
                <c:pt idx="16">
                  <c:v>24</c:v>
                </c:pt>
                <c:pt idx="17">
                  <c:v>38</c:v>
                </c:pt>
                <c:pt idx="18">
                  <c:v>52</c:v>
                </c:pt>
                <c:pt idx="19">
                  <c:v>66</c:v>
                </c:pt>
                <c:pt idx="20">
                  <c:v>80</c:v>
                </c:pt>
                <c:pt idx="21">
                  <c:v>94</c:v>
                </c:pt>
                <c:pt idx="22">
                  <c:v>108</c:v>
                </c:pt>
                <c:pt idx="23">
                  <c:v>122</c:v>
                </c:pt>
                <c:pt idx="24">
                  <c:v>136</c:v>
                </c:pt>
                <c:pt idx="25">
                  <c:v>150</c:v>
                </c:pt>
                <c:pt idx="26">
                  <c:v>164</c:v>
                </c:pt>
                <c:pt idx="27">
                  <c:v>178</c:v>
                </c:pt>
                <c:pt idx="28">
                  <c:v>192</c:v>
                </c:pt>
                <c:pt idx="29">
                  <c:v>206</c:v>
                </c:pt>
                <c:pt idx="30">
                  <c:v>220</c:v>
                </c:pt>
                <c:pt idx="31">
                  <c:v>234</c:v>
                </c:pt>
                <c:pt idx="32">
                  <c:v>248</c:v>
                </c:pt>
                <c:pt idx="33">
                  <c:v>262</c:v>
                </c:pt>
                <c:pt idx="34">
                  <c:v>276</c:v>
                </c:pt>
                <c:pt idx="35">
                  <c:v>290</c:v>
                </c:pt>
                <c:pt idx="36">
                  <c:v>304</c:v>
                </c:pt>
                <c:pt idx="37">
                  <c:v>318</c:v>
                </c:pt>
                <c:pt idx="38">
                  <c:v>332</c:v>
                </c:pt>
                <c:pt idx="39">
                  <c:v>346</c:v>
                </c:pt>
                <c:pt idx="40">
                  <c:v>360</c:v>
                </c:pt>
                <c:pt idx="41">
                  <c:v>374</c:v>
                </c:pt>
                <c:pt idx="42">
                  <c:v>388</c:v>
                </c:pt>
                <c:pt idx="43">
                  <c:v>402</c:v>
                </c:pt>
                <c:pt idx="44">
                  <c:v>416</c:v>
                </c:pt>
                <c:pt idx="45">
                  <c:v>430</c:v>
                </c:pt>
                <c:pt idx="46">
                  <c:v>444</c:v>
                </c:pt>
                <c:pt idx="47">
                  <c:v>458</c:v>
                </c:pt>
                <c:pt idx="48">
                  <c:v>472</c:v>
                </c:pt>
                <c:pt idx="49">
                  <c:v>486</c:v>
                </c:pt>
                <c:pt idx="50">
                  <c:v>500</c:v>
                </c:pt>
              </c:numCache>
            </c:numRef>
          </c:yVal>
          <c:smooth val="0"/>
        </c:ser>
        <c:ser>
          <c:idx val="1"/>
          <c:order val="1"/>
          <c:tx>
            <c:strRef>
              <c:f>"Hold (alternative)"</c:f>
              <c:strCache>
                <c:ptCount val="1"/>
                <c:pt idx="0">
                  <c:v>Hold (alternative)</c:v>
                </c:pt>
              </c:strCache>
            </c:strRef>
          </c:tx>
          <c:spPr>
            <a:solidFill>
              <a:srgbClr val="5b6b7b"/>
            </a:solidFill>
            <a:ln w="19080">
              <a:solidFill>
                <a:srgbClr val="5b6b7b"/>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ChartData!$A$2:$A$52</c:f>
              <c:numCache>
                <c:formatCode>0.00</c:formatCode>
                <c:ptCount val="51"/>
                <c:pt idx="0">
                  <c:v>0</c:v>
                </c:pt>
                <c:pt idx="1">
                  <c:v>0.02</c:v>
                </c:pt>
                <c:pt idx="2">
                  <c:v>0.04</c:v>
                </c:pt>
                <c:pt idx="3">
                  <c:v>0.06</c:v>
                </c:pt>
                <c:pt idx="4">
                  <c:v>0.08</c:v>
                </c:pt>
                <c:pt idx="5">
                  <c:v>0.1</c:v>
                </c:pt>
                <c:pt idx="6">
                  <c:v>0.12</c:v>
                </c:pt>
                <c:pt idx="7">
                  <c:v>0.14</c:v>
                </c:pt>
                <c:pt idx="8">
                  <c:v>0.16</c:v>
                </c:pt>
                <c:pt idx="9">
                  <c:v>0.18</c:v>
                </c:pt>
                <c:pt idx="10">
                  <c:v>0.2</c:v>
                </c:pt>
                <c:pt idx="11">
                  <c:v>0.22</c:v>
                </c:pt>
                <c:pt idx="12">
                  <c:v>0.24</c:v>
                </c:pt>
                <c:pt idx="13">
                  <c:v>0.26</c:v>
                </c:pt>
                <c:pt idx="14">
                  <c:v>0.28</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c:v>
                </c:pt>
                <c:pt idx="29">
                  <c:v>0.58</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numCache>
            </c:numRef>
          </c:xVal>
          <c:yVal>
            <c:numRef>
              <c:f>ChartData!$C$2:$C$52</c:f>
              <c:numCache>
                <c:formatCode>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ser>
        <c:ser>
          <c:idx val="2"/>
          <c:order val="2"/>
          <c:tx>
            <c:strRef>
              <c:f>"Launch: certainty equivalent (risk-adjusted)"</c:f>
              <c:strCache>
                <c:ptCount val="1"/>
                <c:pt idx="0">
                  <c:v>Launch: certainty equivalent (risk-adjusted)</c:v>
                </c:pt>
              </c:strCache>
            </c:strRef>
          </c:tx>
          <c:spPr>
            <a:solidFill>
              <a:srgbClr val="b8933d"/>
            </a:solidFill>
            <a:ln w="31680">
              <a:solidFill>
                <a:srgbClr val="b8933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ChartData!$A$2:$A$52</c:f>
              <c:numCache>
                <c:formatCode>0.00</c:formatCode>
                <c:ptCount val="51"/>
                <c:pt idx="0">
                  <c:v>0</c:v>
                </c:pt>
                <c:pt idx="1">
                  <c:v>0.02</c:v>
                </c:pt>
                <c:pt idx="2">
                  <c:v>0.04</c:v>
                </c:pt>
                <c:pt idx="3">
                  <c:v>0.06</c:v>
                </c:pt>
                <c:pt idx="4">
                  <c:v>0.08</c:v>
                </c:pt>
                <c:pt idx="5">
                  <c:v>0.1</c:v>
                </c:pt>
                <c:pt idx="6">
                  <c:v>0.12</c:v>
                </c:pt>
                <c:pt idx="7">
                  <c:v>0.14</c:v>
                </c:pt>
                <c:pt idx="8">
                  <c:v>0.16</c:v>
                </c:pt>
                <c:pt idx="9">
                  <c:v>0.18</c:v>
                </c:pt>
                <c:pt idx="10">
                  <c:v>0.2</c:v>
                </c:pt>
                <c:pt idx="11">
                  <c:v>0.22</c:v>
                </c:pt>
                <c:pt idx="12">
                  <c:v>0.24</c:v>
                </c:pt>
                <c:pt idx="13">
                  <c:v>0.26</c:v>
                </c:pt>
                <c:pt idx="14">
                  <c:v>0.28</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c:v>
                </c:pt>
                <c:pt idx="29">
                  <c:v>0.58</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numCache>
            </c:numRef>
          </c:xVal>
          <c:yVal>
            <c:numRef>
              <c:f>ChartData!$D$2:$D$52</c:f>
              <c:numCache>
                <c:formatCode>0.0</c:formatCode>
                <c:ptCount val="51"/>
                <c:pt idx="0">
                  <c:v>-200</c:v>
                </c:pt>
                <c:pt idx="1">
                  <c:v>-189.88067800522</c:v>
                </c:pt>
                <c:pt idx="2">
                  <c:v>-179.65790761338</c:v>
                </c:pt>
                <c:pt idx="3">
                  <c:v>-169.329551883379</c:v>
                </c:pt>
                <c:pt idx="4">
                  <c:v>-158.893406968048</c:v>
                </c:pt>
                <c:pt idx="5">
                  <c:v>-148.347199291628</c:v>
                </c:pt>
                <c:pt idx="6">
                  <c:v>-137.688582576824</c:v>
                </c:pt>
                <c:pt idx="7">
                  <c:v>-126.915134711696</c:v>
                </c:pt>
                <c:pt idx="8">
                  <c:v>-116.024354445941</c:v>
                </c:pt>
                <c:pt idx="9">
                  <c:v>-105.013657905283</c:v>
                </c:pt>
                <c:pt idx="10">
                  <c:v>-93.8803749118153</c:v>
                </c:pt>
                <c:pt idx="11">
                  <c:v>-82.6217450972063</c:v>
                </c:pt>
                <c:pt idx="12">
                  <c:v>-71.2349137945881</c:v>
                </c:pt>
                <c:pt idx="13">
                  <c:v>-59.7169276938551</c:v>
                </c:pt>
                <c:pt idx="14">
                  <c:v>-48.064730243819</c:v>
                </c:pt>
                <c:pt idx="15">
                  <c:v>-36.2751567833176</c:v>
                </c:pt>
                <c:pt idx="16">
                  <c:v>-24.3449293818697</c:v>
                </c:pt>
                <c:pt idx="17">
                  <c:v>-12.2706513688363</c:v>
                </c:pt>
                <c:pt idx="18">
                  <c:v>-0.048801528242878</c:v>
                </c:pt>
                <c:pt idx="19">
                  <c:v>12.324272065561</c:v>
                </c:pt>
                <c:pt idx="20">
                  <c:v>24.8523585984015</c:v>
                </c:pt>
                <c:pt idx="21">
                  <c:v>37.5393914823407</c:v>
                </c:pt>
                <c:pt idx="22">
                  <c:v>50.3894557693383</c:v>
                </c:pt>
                <c:pt idx="23">
                  <c:v>63.4067960474752</c:v>
                </c:pt>
                <c:pt idx="24">
                  <c:v>76.5958248579323</c:v>
                </c:pt>
                <c:pt idx="25">
                  <c:v>89.9611316744874</c:v>
                </c:pt>
                <c:pt idx="26">
                  <c:v>103.507492491253</c:v>
                </c:pt>
                <c:pt idx="27">
                  <c:v>117.239880068777</c:v>
                </c:pt>
                <c:pt idx="28">
                  <c:v>131.163474893514</c:v>
                </c:pt>
                <c:pt idx="29">
                  <c:v>145.283676911102</c:v>
                </c:pt>
                <c:pt idx="30">
                  <c:v>159.606118099959</c:v>
                </c:pt>
                <c:pt idx="31">
                  <c:v>174.136675958466</c:v>
                </c:pt>
                <c:pt idx="32">
                  <c:v>188.881487986554</c:v>
                </c:pt>
                <c:pt idx="33">
                  <c:v>203.846967251023</c:v>
                </c:pt>
                <c:pt idx="34">
                  <c:v>219.039819133367</c:v>
                </c:pt>
                <c:pt idx="35">
                  <c:v>234.467059369589</c:v>
                </c:pt>
                <c:pt idx="36">
                  <c:v>250.136033503479</c:v>
                </c:pt>
                <c:pt idx="37">
                  <c:v>266.054437888377</c:v>
                </c:pt>
                <c:pt idx="38">
                  <c:v>282.230342387723</c:v>
                </c:pt>
                <c:pt idx="39">
                  <c:v>298.672214942006</c:v>
                </c:pt>
                <c:pt idx="40">
                  <c:v>315.388948189335</c:v>
                </c:pt>
                <c:pt idx="41">
                  <c:v>332.389888349145</c:v>
                </c:pt>
                <c:pt idx="42">
                  <c:v>349.684866603913</c:v>
                </c:pt>
                <c:pt idx="43">
                  <c:v>367.284233242708</c:v>
                </c:pt>
                <c:pt idx="44">
                  <c:v>385.198894863472</c:v>
                </c:pt>
                <c:pt idx="45">
                  <c:v>403.440354968877</c:v>
                </c:pt>
                <c:pt idx="46">
                  <c:v>422.020758334122</c:v>
                </c:pt>
                <c:pt idx="47">
                  <c:v>440.952939575234</c:v>
                </c:pt>
                <c:pt idx="48">
                  <c:v>460.250476404284</c:v>
                </c:pt>
                <c:pt idx="49">
                  <c:v>479.927748125</c:v>
                </c:pt>
                <c:pt idx="50">
                  <c:v>500</c:v>
                </c:pt>
              </c:numCache>
            </c:numRef>
          </c:yVal>
          <c:smooth val="0"/>
        </c:ser>
        <c:ser>
          <c:idx val="3"/>
          <c:order val="3"/>
          <c:tx>
            <c:strRef>
              <c:f>"Prior  (before the signal)"</c:f>
              <c:strCache>
                <c:ptCount val="1"/>
                <c:pt idx="0">
                  <c:v>Prior  (before the signal)</c:v>
                </c:pt>
              </c:strCache>
            </c:strRef>
          </c:tx>
          <c:spPr>
            <a:solidFill>
              <a:srgbClr val="2e75b6"/>
            </a:solidFill>
            <a:ln w="22320">
              <a:solidFill>
                <a:srgbClr val="2e75b6"/>
              </a:solidFill>
              <a:prstDash val="sys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ChartData!$J$2:$J$3</c:f>
              <c:numCache>
                <c:formatCode>0.00</c:formatCode>
                <c:ptCount val="2"/>
                <c:pt idx="0">
                  <c:v>0.4</c:v>
                </c:pt>
                <c:pt idx="1">
                  <c:v>0.4</c:v>
                </c:pt>
              </c:numCache>
            </c:numRef>
          </c:xVal>
          <c:yVal>
            <c:numRef>
              <c:f>ChartData!$K$2:$K$3</c:f>
              <c:numCache>
                <c:formatCode>0.00</c:formatCode>
                <c:ptCount val="2"/>
                <c:pt idx="0">
                  <c:v>-200</c:v>
                </c:pt>
                <c:pt idx="1">
                  <c:v>500</c:v>
                </c:pt>
              </c:numCache>
            </c:numRef>
          </c:yVal>
          <c:smooth val="0"/>
        </c:ser>
        <c:ser>
          <c:idx val="4"/>
          <c:order val="4"/>
          <c:tx>
            <c:strRef>
              <c:f>"Posterior  (after the signal)"</c:f>
              <c:strCache>
                <c:ptCount val="1"/>
                <c:pt idx="0">
                  <c:v>Posterior  (after the signal)</c:v>
                </c:pt>
              </c:strCache>
            </c:strRef>
          </c:tx>
          <c:spPr>
            <a:solidFill>
              <a:srgbClr val="0e7c86"/>
            </a:solidFill>
            <a:ln w="22320">
              <a:solidFill>
                <a:srgbClr val="0e7c86"/>
              </a:solidFill>
              <a:prstDash val="sys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ChartData!$L$2:$L$3</c:f>
              <c:numCache>
                <c:formatCode>0.00</c:formatCode>
                <c:ptCount val="2"/>
                <c:pt idx="0">
                  <c:v>0.64</c:v>
                </c:pt>
                <c:pt idx="1">
                  <c:v>0.64</c:v>
                </c:pt>
              </c:numCache>
            </c:numRef>
          </c:xVal>
          <c:yVal>
            <c:numRef>
              <c:f>ChartData!$M$2:$M$3</c:f>
              <c:numCache>
                <c:formatCode>0.00</c:formatCode>
                <c:ptCount val="2"/>
                <c:pt idx="0">
                  <c:v>-200</c:v>
                </c:pt>
                <c:pt idx="1">
                  <c:v>500</c:v>
                </c:pt>
              </c:numCache>
            </c:numRef>
          </c:yVal>
          <c:smooth val="0"/>
        </c:ser>
        <c:axId val="54607315"/>
        <c:axId val="76944003"/>
      </c:scatterChart>
      <c:valAx>
        <c:axId val="54607315"/>
        <c:scaling>
          <c:orientation val="minMax"/>
          <c:max val="1"/>
          <c:min val="0"/>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Probability of the good state, p(good)</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944003"/>
        <c:crosses val="autoZero"/>
        <c:crossBetween val="midCat"/>
      </c:valAx>
      <c:valAx>
        <c:axId val="769440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 thousands)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607315"/>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14</xdr:col>
      <xdr:colOff>561600</xdr:colOff>
      <xdr:row>20</xdr:row>
      <xdr:rowOff>158040</xdr:rowOff>
    </xdr:to>
    <xdr:graphicFrame>
      <xdr:nvGraphicFramePr>
        <xdr:cNvPr id="0" name="Chart 1"/>
        <xdr:cNvGraphicFramePr/>
      </xdr:nvGraphicFramePr>
      <xdr:xfrm>
        <a:off x="4617000" y="704880"/>
        <a:ext cx="7379640" cy="41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3" min="3" style="0" width="14"/>
    <col collapsed="false" customWidth="true" hidden="false" outlineLevel="0" max="4" min="4" style="0" width="3"/>
    <col collapsed="false" customWidth="true" hidden="false" outlineLevel="0" max="7" min="5" style="0" width="12"/>
  </cols>
  <sheetData>
    <row r="1" customFormat="false" ht="25.5" hidden="false" customHeight="true" outlineLevel="0" collapsed="false">
      <c r="B1" s="1" t="s">
        <v>0</v>
      </c>
      <c r="C1" s="1"/>
      <c r="D1" s="1"/>
      <c r="E1" s="1"/>
      <c r="F1" s="1"/>
      <c r="G1" s="1"/>
    </row>
    <row r="2" customFormat="false" ht="15" hidden="false" customHeight="false" outlineLevel="0" collapsed="false">
      <c r="B2" s="2" t="s">
        <v>1</v>
      </c>
      <c r="C2" s="2"/>
      <c r="D2" s="2"/>
      <c r="E2" s="2"/>
      <c r="F2" s="2"/>
      <c r="G2" s="2"/>
    </row>
    <row r="4" customFormat="false" ht="15" hidden="false" customHeight="false" outlineLevel="0" collapsed="false">
      <c r="B4" s="3" t="s">
        <v>2</v>
      </c>
      <c r="C4" s="3"/>
    </row>
    <row r="5" customFormat="false" ht="19.5" hidden="false" customHeight="true" outlineLevel="0" collapsed="false">
      <c r="B5" s="4" t="s">
        <v>3</v>
      </c>
      <c r="C5" s="5" t="n">
        <v>0.4</v>
      </c>
    </row>
    <row r="6" customFormat="false" ht="19.5" hidden="false" customHeight="true" outlineLevel="0" collapsed="false">
      <c r="B6" s="4" t="s">
        <v>4</v>
      </c>
      <c r="C6" s="5" t="n">
        <v>0.8</v>
      </c>
    </row>
    <row r="7" customFormat="false" ht="19.5" hidden="false" customHeight="true" outlineLevel="0" collapsed="false">
      <c r="B7" s="4" t="s">
        <v>5</v>
      </c>
      <c r="C7" s="5" t="n">
        <v>0.3</v>
      </c>
    </row>
    <row r="8" customFormat="false" ht="19.5" hidden="false" customHeight="true" outlineLevel="0" collapsed="false">
      <c r="B8" s="4" t="s">
        <v>6</v>
      </c>
      <c r="C8" s="6" t="n">
        <v>500</v>
      </c>
    </row>
    <row r="9" customFormat="false" ht="19.5" hidden="false" customHeight="true" outlineLevel="0" collapsed="false">
      <c r="B9" s="4" t="s">
        <v>7</v>
      </c>
      <c r="C9" s="6" t="n">
        <v>-200</v>
      </c>
    </row>
    <row r="10" customFormat="false" ht="19.5" hidden="false" customHeight="true" outlineLevel="0" collapsed="false">
      <c r="B10" s="4" t="s">
        <v>8</v>
      </c>
      <c r="C10" s="6" t="n">
        <v>0</v>
      </c>
    </row>
    <row r="11" customFormat="false" ht="19.5" hidden="false" customHeight="true" outlineLevel="0" collapsed="false">
      <c r="B11" s="4" t="s">
        <v>9</v>
      </c>
      <c r="C11" s="6" t="n">
        <v>1000</v>
      </c>
    </row>
    <row r="12" customFormat="false" ht="15" hidden="false" customHeight="true" outlineLevel="0" collapsed="false">
      <c r="B12" s="7" t="s">
        <v>10</v>
      </c>
      <c r="C12" s="7"/>
    </row>
    <row r="14" customFormat="false" ht="15" hidden="false" customHeight="false" outlineLevel="0" collapsed="false">
      <c r="B14" s="3" t="s">
        <v>11</v>
      </c>
      <c r="C14" s="3"/>
    </row>
    <row r="15" customFormat="false" ht="19.5" hidden="false" customHeight="true" outlineLevel="0" collapsed="false">
      <c r="B15" s="4" t="s">
        <v>12</v>
      </c>
      <c r="C15" s="8" t="n">
        <f aca="false">IFERROR(C5*C6/(C5*C6+(1-C5)*C7),C5)</f>
        <v>0.64</v>
      </c>
    </row>
    <row r="16" customFormat="false" ht="19.5" hidden="false" customHeight="true" outlineLevel="0" collapsed="false">
      <c r="B16" s="4" t="s">
        <v>13</v>
      </c>
      <c r="C16" s="8" t="n">
        <f aca="false">IF(C8=C9,"n/a",(C10-C9)/(C8-C9))</f>
        <v>0.285714285714286</v>
      </c>
    </row>
    <row r="17" customFormat="false" ht="19.5" hidden="false" customHeight="true" outlineLevel="0" collapsed="false">
      <c r="B17" s="4" t="s">
        <v>14</v>
      </c>
      <c r="C17" s="9" t="n">
        <f aca="false">C5*C8+(1-C5)*C9</f>
        <v>80</v>
      </c>
    </row>
    <row r="18" customFormat="false" ht="19.5" hidden="false" customHeight="true" outlineLevel="0" collapsed="false">
      <c r="B18" s="4" t="s">
        <v>15</v>
      </c>
      <c r="C18" s="9" t="n">
        <f aca="false">C15*C8+(1-C15)*C9</f>
        <v>248</v>
      </c>
    </row>
    <row r="19" customFormat="false" ht="19.5" hidden="false" customHeight="true" outlineLevel="0" collapsed="false">
      <c r="B19" s="4" t="s">
        <v>16</v>
      </c>
      <c r="C19" s="9" t="n">
        <f aca="false">-C11*LN(C15*EXP(-C8/C11)+(1-C15)*EXP(-C9/C11))</f>
        <v>188.881487986554</v>
      </c>
    </row>
    <row r="20" customFormat="false" ht="19.5" hidden="false" customHeight="true" outlineLevel="0" collapsed="false">
      <c r="B20" s="4" t="s">
        <v>17</v>
      </c>
      <c r="C20" s="9" t="n">
        <f aca="false">C10</f>
        <v>0</v>
      </c>
    </row>
    <row r="21" customFormat="false" ht="19.5" hidden="false" customHeight="true" outlineLevel="0" collapsed="false">
      <c r="B21" s="4" t="s">
        <v>18</v>
      </c>
      <c r="C21" s="9" t="n">
        <f aca="false">C18-C19</f>
        <v>59.1185120134465</v>
      </c>
    </row>
    <row r="23" customFormat="false" ht="15" hidden="false" customHeight="false" outlineLevel="0" collapsed="false">
      <c r="B23" s="10" t="s">
        <v>19</v>
      </c>
      <c r="C23" s="11"/>
    </row>
    <row r="24" customFormat="false" ht="15" hidden="false" customHeight="false" outlineLevel="0" collapsed="false">
      <c r="B24" s="12" t="s">
        <v>20</v>
      </c>
      <c r="C24" s="13" t="str">
        <f aca="false">IF(C18&gt;C20,"LAUNCH",IF(C18&lt;C20,"HOLD","EITHER"))</f>
        <v>LAUNCH</v>
      </c>
    </row>
    <row r="25" customFormat="false" ht="15" hidden="false" customHeight="false" outlineLevel="0" collapsed="false">
      <c r="B25" s="12" t="s">
        <v>21</v>
      </c>
      <c r="C25" s="13" t="str">
        <f aca="false">IF(C19&gt;C20,"LAUNCH",IF(C19&lt;C20,"HOLD","EITHER"))</f>
        <v>LAUNCH</v>
      </c>
    </row>
    <row r="27" customFormat="false" ht="39.75" hidden="false" customHeight="true" outlineLevel="0" collapsed="false">
      <c r="B27" s="7" t="s">
        <v>22</v>
      </c>
      <c r="C27" s="7"/>
    </row>
  </sheetData>
  <mergeCells count="6">
    <mergeCell ref="B1:G1"/>
    <mergeCell ref="B2:G2"/>
    <mergeCell ref="B4:C4"/>
    <mergeCell ref="B12:C12"/>
    <mergeCell ref="B14:C14"/>
    <mergeCell ref="B27:C27"/>
  </mergeCells>
  <dataValidations count="2">
    <dataValidation allowBlank="false" error="Enter a probability from 0 to 1." errorStyle="stop" errorTitle="Out of range" operator="between" showDropDown="false" showErrorMessage="true" showInputMessage="false" sqref="C5:C7" type="decimal">
      <formula1>0</formula1>
      <formula2>1</formula2>
    </dataValidation>
    <dataValidation allowBlank="false" error="Risk tolerance must be greater than 0." errorStyle="stop" errorTitle="Invalid R" operator="greaterThan" showDropDown="false" showErrorMessage="true" showInputMessage="false" sqref="C11"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22"/>
    <col collapsed="false" customWidth="true" hidden="false" outlineLevel="0" max="5" min="5" style="0" width="3"/>
    <col collapsed="false" customWidth="true" hidden="false" outlineLevel="0" max="6" min="6" style="0" width="12"/>
    <col collapsed="false" customWidth="true" hidden="false" outlineLevel="0" max="8" min="7" style="0" width="10"/>
  </cols>
  <sheetData>
    <row r="1" customFormat="false" ht="15" hidden="false" customHeight="false" outlineLevel="0" collapsed="false">
      <c r="A1" s="14" t="s">
        <v>23</v>
      </c>
      <c r="B1" s="14" t="s">
        <v>24</v>
      </c>
      <c r="C1" s="14" t="s">
        <v>25</v>
      </c>
      <c r="D1" s="14" t="s">
        <v>26</v>
      </c>
      <c r="F1" s="14" t="s">
        <v>27</v>
      </c>
      <c r="G1" s="14" t="s">
        <v>28</v>
      </c>
      <c r="H1" s="14" t="s">
        <v>29</v>
      </c>
      <c r="J1" s="15" t="s">
        <v>30</v>
      </c>
      <c r="K1" s="15" t="s">
        <v>31</v>
      </c>
      <c r="L1" s="15" t="s">
        <v>32</v>
      </c>
      <c r="M1" s="15" t="s">
        <v>33</v>
      </c>
    </row>
    <row r="2" customFormat="false" ht="15" hidden="false" customHeight="false" outlineLevel="0" collapsed="false">
      <c r="A2" s="16" t="n">
        <v>0</v>
      </c>
      <c r="B2" s="17" t="n">
        <f aca="false">A2*Calculator!$C$8+(1-A2)*Calculator!$C$9</f>
        <v>-200</v>
      </c>
      <c r="C2" s="17" t="n">
        <f aca="false">Calculator!$C$10</f>
        <v>0</v>
      </c>
      <c r="D2" s="17" t="n">
        <f aca="false">-Calculator!$C$11*LN(A2*EXP(-Calculator!$C$8/Calculator!$C$11)+(1-A2)*EXP(-Calculator!$C$9/Calculator!$C$11))</f>
        <v>-200</v>
      </c>
      <c r="F2" s="18" t="s">
        <v>34</v>
      </c>
      <c r="G2" s="19" t="n">
        <f aca="false">Calculator!C5</f>
        <v>0.4</v>
      </c>
      <c r="H2" s="19" t="n">
        <f aca="false">Calculator!C17</f>
        <v>80</v>
      </c>
      <c r="J2" s="19" t="n">
        <f aca="false">Calculator!C5</f>
        <v>0.4</v>
      </c>
      <c r="K2" s="19" t="n">
        <f aca="false">Calculator!C9</f>
        <v>-200</v>
      </c>
      <c r="L2" s="19" t="n">
        <f aca="false">Calculator!C15</f>
        <v>0.64</v>
      </c>
      <c r="M2" s="19" t="n">
        <f aca="false">Calculator!C9</f>
        <v>-200</v>
      </c>
    </row>
    <row r="3" customFormat="false" ht="15" hidden="false" customHeight="false" outlineLevel="0" collapsed="false">
      <c r="A3" s="16" t="n">
        <v>0.02</v>
      </c>
      <c r="B3" s="17" t="n">
        <f aca="false">A3*Calculator!$C$8+(1-A3)*Calculator!$C$9</f>
        <v>-186</v>
      </c>
      <c r="C3" s="17" t="n">
        <f aca="false">Calculator!$C$10</f>
        <v>0</v>
      </c>
      <c r="D3" s="17" t="n">
        <f aca="false">-Calculator!$C$11*LN(A3*EXP(-Calculator!$C$8/Calculator!$C$11)+(1-A3)*EXP(-Calculator!$C$9/Calculator!$C$11))</f>
        <v>-189.88067800522</v>
      </c>
      <c r="F3" s="18" t="s">
        <v>35</v>
      </c>
      <c r="G3" s="19" t="n">
        <f aca="false">Calculator!C15</f>
        <v>0.64</v>
      </c>
      <c r="H3" s="19" t="n">
        <f aca="false">Calculator!C18</f>
        <v>248</v>
      </c>
      <c r="J3" s="19" t="n">
        <f aca="false">Calculator!C5</f>
        <v>0.4</v>
      </c>
      <c r="K3" s="19" t="n">
        <f aca="false">Calculator!C8</f>
        <v>500</v>
      </c>
      <c r="L3" s="19" t="n">
        <f aca="false">Calculator!C15</f>
        <v>0.64</v>
      </c>
      <c r="M3" s="19" t="n">
        <f aca="false">Calculator!C8</f>
        <v>500</v>
      </c>
    </row>
    <row r="4" customFormat="false" ht="15" hidden="false" customHeight="false" outlineLevel="0" collapsed="false">
      <c r="A4" s="16" t="n">
        <v>0.04</v>
      </c>
      <c r="B4" s="17" t="n">
        <f aca="false">A4*Calculator!$C$8+(1-A4)*Calculator!$C$9</f>
        <v>-172</v>
      </c>
      <c r="C4" s="17" t="n">
        <f aca="false">Calculator!$C$10</f>
        <v>0</v>
      </c>
      <c r="D4" s="17" t="n">
        <f aca="false">-Calculator!$C$11*LN(A4*EXP(-Calculator!$C$8/Calculator!$C$11)+(1-A4)*EXP(-Calculator!$C$9/Calculator!$C$11))</f>
        <v>-179.65790761338</v>
      </c>
    </row>
    <row r="5" customFormat="false" ht="15" hidden="false" customHeight="false" outlineLevel="0" collapsed="false">
      <c r="A5" s="16" t="n">
        <v>0.06</v>
      </c>
      <c r="B5" s="17" t="n">
        <f aca="false">A5*Calculator!$C$8+(1-A5)*Calculator!$C$9</f>
        <v>-158</v>
      </c>
      <c r="C5" s="17" t="n">
        <f aca="false">Calculator!$C$10</f>
        <v>0</v>
      </c>
      <c r="D5" s="17" t="n">
        <f aca="false">-Calculator!$C$11*LN(A5*EXP(-Calculator!$C$8/Calculator!$C$11)+(1-A5)*EXP(-Calculator!$C$9/Calculator!$C$11))</f>
        <v>-169.329551883379</v>
      </c>
    </row>
    <row r="6" customFormat="false" ht="15" hidden="false" customHeight="false" outlineLevel="0" collapsed="false">
      <c r="A6" s="16" t="n">
        <v>0.08</v>
      </c>
      <c r="B6" s="17" t="n">
        <f aca="false">A6*Calculator!$C$8+(1-A6)*Calculator!$C$9</f>
        <v>-144</v>
      </c>
      <c r="C6" s="17" t="n">
        <f aca="false">Calculator!$C$10</f>
        <v>0</v>
      </c>
      <c r="D6" s="17" t="n">
        <f aca="false">-Calculator!$C$11*LN(A6*EXP(-Calculator!$C$8/Calculator!$C$11)+(1-A6)*EXP(-Calculator!$C$9/Calculator!$C$11))</f>
        <v>-158.893406968048</v>
      </c>
    </row>
    <row r="7" customFormat="false" ht="15" hidden="false" customHeight="false" outlineLevel="0" collapsed="false">
      <c r="A7" s="16" t="n">
        <v>0.1</v>
      </c>
      <c r="B7" s="17" t="n">
        <f aca="false">A7*Calculator!$C$8+(1-A7)*Calculator!$C$9</f>
        <v>-130</v>
      </c>
      <c r="C7" s="17" t="n">
        <f aca="false">Calculator!$C$10</f>
        <v>0</v>
      </c>
      <c r="D7" s="17" t="n">
        <f aca="false">-Calculator!$C$11*LN(A7*EXP(-Calculator!$C$8/Calculator!$C$11)+(1-A7)*EXP(-Calculator!$C$9/Calculator!$C$11))</f>
        <v>-148.347199291628</v>
      </c>
    </row>
    <row r="8" customFormat="false" ht="15" hidden="false" customHeight="false" outlineLevel="0" collapsed="false">
      <c r="A8" s="16" t="n">
        <v>0.12</v>
      </c>
      <c r="B8" s="17" t="n">
        <f aca="false">A8*Calculator!$C$8+(1-A8)*Calculator!$C$9</f>
        <v>-116</v>
      </c>
      <c r="C8" s="17" t="n">
        <f aca="false">Calculator!$C$10</f>
        <v>0</v>
      </c>
      <c r="D8" s="17" t="n">
        <f aca="false">-Calculator!$C$11*LN(A8*EXP(-Calculator!$C$8/Calculator!$C$11)+(1-A8)*EXP(-Calculator!$C$9/Calculator!$C$11))</f>
        <v>-137.688582576824</v>
      </c>
    </row>
    <row r="9" customFormat="false" ht="15" hidden="false" customHeight="false" outlineLevel="0" collapsed="false">
      <c r="A9" s="16" t="n">
        <v>0.14</v>
      </c>
      <c r="B9" s="17" t="n">
        <f aca="false">A9*Calculator!$C$8+(1-A9)*Calculator!$C$9</f>
        <v>-102</v>
      </c>
      <c r="C9" s="17" t="n">
        <f aca="false">Calculator!$C$10</f>
        <v>0</v>
      </c>
      <c r="D9" s="17" t="n">
        <f aca="false">-Calculator!$C$11*LN(A9*EXP(-Calculator!$C$8/Calculator!$C$11)+(1-A9)*EXP(-Calculator!$C$9/Calculator!$C$11))</f>
        <v>-126.915134711696</v>
      </c>
    </row>
    <row r="10" customFormat="false" ht="15" hidden="false" customHeight="false" outlineLevel="0" collapsed="false">
      <c r="A10" s="16" t="n">
        <v>0.16</v>
      </c>
      <c r="B10" s="17" t="n">
        <f aca="false">A10*Calculator!$C$8+(1-A10)*Calculator!$C$9</f>
        <v>-88</v>
      </c>
      <c r="C10" s="17" t="n">
        <f aca="false">Calculator!$C$10</f>
        <v>0</v>
      </c>
      <c r="D10" s="17" t="n">
        <f aca="false">-Calculator!$C$11*LN(A10*EXP(-Calculator!$C$8/Calculator!$C$11)+(1-A10)*EXP(-Calculator!$C$9/Calculator!$C$11))</f>
        <v>-116.024354445941</v>
      </c>
    </row>
    <row r="11" customFormat="false" ht="15" hidden="false" customHeight="false" outlineLevel="0" collapsed="false">
      <c r="A11" s="16" t="n">
        <v>0.18</v>
      </c>
      <c r="B11" s="17" t="n">
        <f aca="false">A11*Calculator!$C$8+(1-A11)*Calculator!$C$9</f>
        <v>-74</v>
      </c>
      <c r="C11" s="17" t="n">
        <f aca="false">Calculator!$C$10</f>
        <v>0</v>
      </c>
      <c r="D11" s="17" t="n">
        <f aca="false">-Calculator!$C$11*LN(A11*EXP(-Calculator!$C$8/Calculator!$C$11)+(1-A11)*EXP(-Calculator!$C$9/Calculator!$C$11))</f>
        <v>-105.013657905283</v>
      </c>
    </row>
    <row r="12" customFormat="false" ht="15" hidden="false" customHeight="false" outlineLevel="0" collapsed="false">
      <c r="A12" s="16" t="n">
        <v>0.2</v>
      </c>
      <c r="B12" s="17" t="n">
        <f aca="false">A12*Calculator!$C$8+(1-A12)*Calculator!$C$9</f>
        <v>-60</v>
      </c>
      <c r="C12" s="17" t="n">
        <f aca="false">Calculator!$C$10</f>
        <v>0</v>
      </c>
      <c r="D12" s="17" t="n">
        <f aca="false">-Calculator!$C$11*LN(A12*EXP(-Calculator!$C$8/Calculator!$C$11)+(1-A12)*EXP(-Calculator!$C$9/Calculator!$C$11))</f>
        <v>-93.8803749118153</v>
      </c>
    </row>
    <row r="13" customFormat="false" ht="15" hidden="false" customHeight="false" outlineLevel="0" collapsed="false">
      <c r="A13" s="16" t="n">
        <v>0.22</v>
      </c>
      <c r="B13" s="17" t="n">
        <f aca="false">A13*Calculator!$C$8+(1-A13)*Calculator!$C$9</f>
        <v>-46</v>
      </c>
      <c r="C13" s="17" t="n">
        <f aca="false">Calculator!$C$10</f>
        <v>0</v>
      </c>
      <c r="D13" s="17" t="n">
        <f aca="false">-Calculator!$C$11*LN(A13*EXP(-Calculator!$C$8/Calculator!$C$11)+(1-A13)*EXP(-Calculator!$C$9/Calculator!$C$11))</f>
        <v>-82.6217450972063</v>
      </c>
    </row>
    <row r="14" customFormat="false" ht="15" hidden="false" customHeight="false" outlineLevel="0" collapsed="false">
      <c r="A14" s="16" t="n">
        <v>0.24</v>
      </c>
      <c r="B14" s="17" t="n">
        <f aca="false">A14*Calculator!$C$8+(1-A14)*Calculator!$C$9</f>
        <v>-32</v>
      </c>
      <c r="C14" s="17" t="n">
        <f aca="false">Calculator!$C$10</f>
        <v>0</v>
      </c>
      <c r="D14" s="17" t="n">
        <f aca="false">-Calculator!$C$11*LN(A14*EXP(-Calculator!$C$8/Calculator!$C$11)+(1-A14)*EXP(-Calculator!$C$9/Calculator!$C$11))</f>
        <v>-71.2349137945881</v>
      </c>
    </row>
    <row r="15" customFormat="false" ht="15" hidden="false" customHeight="false" outlineLevel="0" collapsed="false">
      <c r="A15" s="16" t="n">
        <v>0.26</v>
      </c>
      <c r="B15" s="17" t="n">
        <f aca="false">A15*Calculator!$C$8+(1-A15)*Calculator!$C$9</f>
        <v>-18</v>
      </c>
      <c r="C15" s="17" t="n">
        <f aca="false">Calculator!$C$10</f>
        <v>0</v>
      </c>
      <c r="D15" s="17" t="n">
        <f aca="false">-Calculator!$C$11*LN(A15*EXP(-Calculator!$C$8/Calculator!$C$11)+(1-A15)*EXP(-Calculator!$C$9/Calculator!$C$11))</f>
        <v>-59.7169276938551</v>
      </c>
    </row>
    <row r="16" customFormat="false" ht="15" hidden="false" customHeight="false" outlineLevel="0" collapsed="false">
      <c r="A16" s="16" t="n">
        <v>0.28</v>
      </c>
      <c r="B16" s="17" t="n">
        <f aca="false">A16*Calculator!$C$8+(1-A16)*Calculator!$C$9</f>
        <v>-4</v>
      </c>
      <c r="C16" s="17" t="n">
        <f aca="false">Calculator!$C$10</f>
        <v>0</v>
      </c>
      <c r="D16" s="17" t="n">
        <f aca="false">-Calculator!$C$11*LN(A16*EXP(-Calculator!$C$8/Calculator!$C$11)+(1-A16)*EXP(-Calculator!$C$9/Calculator!$C$11))</f>
        <v>-48.064730243819</v>
      </c>
    </row>
    <row r="17" customFormat="false" ht="15" hidden="false" customHeight="false" outlineLevel="0" collapsed="false">
      <c r="A17" s="16" t="n">
        <v>0.3</v>
      </c>
      <c r="B17" s="17" t="n">
        <f aca="false">A17*Calculator!$C$8+(1-A17)*Calculator!$C$9</f>
        <v>10</v>
      </c>
      <c r="C17" s="17" t="n">
        <f aca="false">Calculator!$C$10</f>
        <v>0</v>
      </c>
      <c r="D17" s="17" t="n">
        <f aca="false">-Calculator!$C$11*LN(A17*EXP(-Calculator!$C$8/Calculator!$C$11)+(1-A17)*EXP(-Calculator!$C$9/Calculator!$C$11))</f>
        <v>-36.2751567833176</v>
      </c>
    </row>
    <row r="18" customFormat="false" ht="15" hidden="false" customHeight="false" outlineLevel="0" collapsed="false">
      <c r="A18" s="16" t="n">
        <v>0.32</v>
      </c>
      <c r="B18" s="17" t="n">
        <f aca="false">A18*Calculator!$C$8+(1-A18)*Calculator!$C$9</f>
        <v>24</v>
      </c>
      <c r="C18" s="17" t="n">
        <f aca="false">Calculator!$C$10</f>
        <v>0</v>
      </c>
      <c r="D18" s="17" t="n">
        <f aca="false">-Calculator!$C$11*LN(A18*EXP(-Calculator!$C$8/Calculator!$C$11)+(1-A18)*EXP(-Calculator!$C$9/Calculator!$C$11))</f>
        <v>-24.3449293818697</v>
      </c>
    </row>
    <row r="19" customFormat="false" ht="15" hidden="false" customHeight="false" outlineLevel="0" collapsed="false">
      <c r="A19" s="16" t="n">
        <v>0.34</v>
      </c>
      <c r="B19" s="17" t="n">
        <f aca="false">A19*Calculator!$C$8+(1-A19)*Calculator!$C$9</f>
        <v>38</v>
      </c>
      <c r="C19" s="17" t="n">
        <f aca="false">Calculator!$C$10</f>
        <v>0</v>
      </c>
      <c r="D19" s="17" t="n">
        <f aca="false">-Calculator!$C$11*LN(A19*EXP(-Calculator!$C$8/Calculator!$C$11)+(1-A19)*EXP(-Calculator!$C$9/Calculator!$C$11))</f>
        <v>-12.2706513688363</v>
      </c>
    </row>
    <row r="20" customFormat="false" ht="15" hidden="false" customHeight="false" outlineLevel="0" collapsed="false">
      <c r="A20" s="16" t="n">
        <v>0.36</v>
      </c>
      <c r="B20" s="17" t="n">
        <f aca="false">A20*Calculator!$C$8+(1-A20)*Calculator!$C$9</f>
        <v>52</v>
      </c>
      <c r="C20" s="17" t="n">
        <f aca="false">Calculator!$C$10</f>
        <v>0</v>
      </c>
      <c r="D20" s="17" t="n">
        <f aca="false">-Calculator!$C$11*LN(A20*EXP(-Calculator!$C$8/Calculator!$C$11)+(1-A20)*EXP(-Calculator!$C$9/Calculator!$C$11))</f>
        <v>-0.048801528242878</v>
      </c>
    </row>
    <row r="21" customFormat="false" ht="15" hidden="false" customHeight="false" outlineLevel="0" collapsed="false">
      <c r="A21" s="16" t="n">
        <v>0.38</v>
      </c>
      <c r="B21" s="17" t="n">
        <f aca="false">A21*Calculator!$C$8+(1-A21)*Calculator!$C$9</f>
        <v>66</v>
      </c>
      <c r="C21" s="17" t="n">
        <f aca="false">Calculator!$C$10</f>
        <v>0</v>
      </c>
      <c r="D21" s="17" t="n">
        <f aca="false">-Calculator!$C$11*LN(A21*EXP(-Calculator!$C$8/Calculator!$C$11)+(1-A21)*EXP(-Calculator!$C$9/Calculator!$C$11))</f>
        <v>12.324272065561</v>
      </c>
    </row>
    <row r="22" customFormat="false" ht="15" hidden="false" customHeight="false" outlineLevel="0" collapsed="false">
      <c r="A22" s="16" t="n">
        <v>0.4</v>
      </c>
      <c r="B22" s="17" t="n">
        <f aca="false">A22*Calculator!$C$8+(1-A22)*Calculator!$C$9</f>
        <v>80</v>
      </c>
      <c r="C22" s="17" t="n">
        <f aca="false">Calculator!$C$10</f>
        <v>0</v>
      </c>
      <c r="D22" s="17" t="n">
        <f aca="false">-Calculator!$C$11*LN(A22*EXP(-Calculator!$C$8/Calculator!$C$11)+(1-A22)*EXP(-Calculator!$C$9/Calculator!$C$11))</f>
        <v>24.8523585984015</v>
      </c>
    </row>
    <row r="23" customFormat="false" ht="15" hidden="false" customHeight="false" outlineLevel="0" collapsed="false">
      <c r="A23" s="16" t="n">
        <v>0.42</v>
      </c>
      <c r="B23" s="17" t="n">
        <f aca="false">A23*Calculator!$C$8+(1-A23)*Calculator!$C$9</f>
        <v>94</v>
      </c>
      <c r="C23" s="17" t="n">
        <f aca="false">Calculator!$C$10</f>
        <v>0</v>
      </c>
      <c r="D23" s="17" t="n">
        <f aca="false">-Calculator!$C$11*LN(A23*EXP(-Calculator!$C$8/Calculator!$C$11)+(1-A23)*EXP(-Calculator!$C$9/Calculator!$C$11))</f>
        <v>37.5393914823407</v>
      </c>
    </row>
    <row r="24" customFormat="false" ht="15" hidden="false" customHeight="false" outlineLevel="0" collapsed="false">
      <c r="A24" s="16" t="n">
        <v>0.44</v>
      </c>
      <c r="B24" s="17" t="n">
        <f aca="false">A24*Calculator!$C$8+(1-A24)*Calculator!$C$9</f>
        <v>108</v>
      </c>
      <c r="C24" s="17" t="n">
        <f aca="false">Calculator!$C$10</f>
        <v>0</v>
      </c>
      <c r="D24" s="17" t="n">
        <f aca="false">-Calculator!$C$11*LN(A24*EXP(-Calculator!$C$8/Calculator!$C$11)+(1-A24)*EXP(-Calculator!$C$9/Calculator!$C$11))</f>
        <v>50.3894557693383</v>
      </c>
    </row>
    <row r="25" customFormat="false" ht="15" hidden="false" customHeight="false" outlineLevel="0" collapsed="false">
      <c r="A25" s="16" t="n">
        <v>0.46</v>
      </c>
      <c r="B25" s="17" t="n">
        <f aca="false">A25*Calculator!$C$8+(1-A25)*Calculator!$C$9</f>
        <v>122</v>
      </c>
      <c r="C25" s="17" t="n">
        <f aca="false">Calculator!$C$10</f>
        <v>0</v>
      </c>
      <c r="D25" s="17" t="n">
        <f aca="false">-Calculator!$C$11*LN(A25*EXP(-Calculator!$C$8/Calculator!$C$11)+(1-A25)*EXP(-Calculator!$C$9/Calculator!$C$11))</f>
        <v>63.4067960474752</v>
      </c>
    </row>
    <row r="26" customFormat="false" ht="15" hidden="false" customHeight="false" outlineLevel="0" collapsed="false">
      <c r="A26" s="16" t="n">
        <v>0.48</v>
      </c>
      <c r="B26" s="17" t="n">
        <f aca="false">A26*Calculator!$C$8+(1-A26)*Calculator!$C$9</f>
        <v>136</v>
      </c>
      <c r="C26" s="17" t="n">
        <f aca="false">Calculator!$C$10</f>
        <v>0</v>
      </c>
      <c r="D26" s="17" t="n">
        <f aca="false">-Calculator!$C$11*LN(A26*EXP(-Calculator!$C$8/Calculator!$C$11)+(1-A26)*EXP(-Calculator!$C$9/Calculator!$C$11))</f>
        <v>76.5958248579323</v>
      </c>
    </row>
    <row r="27" customFormat="false" ht="15" hidden="false" customHeight="false" outlineLevel="0" collapsed="false">
      <c r="A27" s="16" t="n">
        <v>0.5</v>
      </c>
      <c r="B27" s="17" t="n">
        <f aca="false">A27*Calculator!$C$8+(1-A27)*Calculator!$C$9</f>
        <v>150</v>
      </c>
      <c r="C27" s="17" t="n">
        <f aca="false">Calculator!$C$10</f>
        <v>0</v>
      </c>
      <c r="D27" s="17" t="n">
        <f aca="false">-Calculator!$C$11*LN(A27*EXP(-Calculator!$C$8/Calculator!$C$11)+(1-A27)*EXP(-Calculator!$C$9/Calculator!$C$11))</f>
        <v>89.9611316744874</v>
      </c>
    </row>
    <row r="28" customFormat="false" ht="15" hidden="false" customHeight="false" outlineLevel="0" collapsed="false">
      <c r="A28" s="16" t="n">
        <v>0.52</v>
      </c>
      <c r="B28" s="17" t="n">
        <f aca="false">A28*Calculator!$C$8+(1-A28)*Calculator!$C$9</f>
        <v>164</v>
      </c>
      <c r="C28" s="17" t="n">
        <f aca="false">Calculator!$C$10</f>
        <v>0</v>
      </c>
      <c r="D28" s="17" t="n">
        <f aca="false">-Calculator!$C$11*LN(A28*EXP(-Calculator!$C$8/Calculator!$C$11)+(1-A28)*EXP(-Calculator!$C$9/Calculator!$C$11))</f>
        <v>103.507492491253</v>
      </c>
    </row>
    <row r="29" customFormat="false" ht="15" hidden="false" customHeight="false" outlineLevel="0" collapsed="false">
      <c r="A29" s="16" t="n">
        <v>0.54</v>
      </c>
      <c r="B29" s="17" t="n">
        <f aca="false">A29*Calculator!$C$8+(1-A29)*Calculator!$C$9</f>
        <v>178</v>
      </c>
      <c r="C29" s="17" t="n">
        <f aca="false">Calculator!$C$10</f>
        <v>0</v>
      </c>
      <c r="D29" s="17" t="n">
        <f aca="false">-Calculator!$C$11*LN(A29*EXP(-Calculator!$C$8/Calculator!$C$11)+(1-A29)*EXP(-Calculator!$C$9/Calculator!$C$11))</f>
        <v>117.239880068777</v>
      </c>
    </row>
    <row r="30" customFormat="false" ht="15" hidden="false" customHeight="false" outlineLevel="0" collapsed="false">
      <c r="A30" s="16" t="n">
        <v>0.56</v>
      </c>
      <c r="B30" s="17" t="n">
        <f aca="false">A30*Calculator!$C$8+(1-A30)*Calculator!$C$9</f>
        <v>192</v>
      </c>
      <c r="C30" s="17" t="n">
        <f aca="false">Calculator!$C$10</f>
        <v>0</v>
      </c>
      <c r="D30" s="17" t="n">
        <f aca="false">-Calculator!$C$11*LN(A30*EXP(-Calculator!$C$8/Calculator!$C$11)+(1-A30)*EXP(-Calculator!$C$9/Calculator!$C$11))</f>
        <v>131.163474893514</v>
      </c>
    </row>
    <row r="31" customFormat="false" ht="15" hidden="false" customHeight="false" outlineLevel="0" collapsed="false">
      <c r="A31" s="16" t="n">
        <v>0.58</v>
      </c>
      <c r="B31" s="17" t="n">
        <f aca="false">A31*Calculator!$C$8+(1-A31)*Calculator!$C$9</f>
        <v>206</v>
      </c>
      <c r="C31" s="17" t="n">
        <f aca="false">Calculator!$C$10</f>
        <v>0</v>
      </c>
      <c r="D31" s="17" t="n">
        <f aca="false">-Calculator!$C$11*LN(A31*EXP(-Calculator!$C$8/Calculator!$C$11)+(1-A31)*EXP(-Calculator!$C$9/Calculator!$C$11))</f>
        <v>145.283676911102</v>
      </c>
    </row>
    <row r="32" customFormat="false" ht="15" hidden="false" customHeight="false" outlineLevel="0" collapsed="false">
      <c r="A32" s="16" t="n">
        <v>0.6</v>
      </c>
      <c r="B32" s="17" t="n">
        <f aca="false">A32*Calculator!$C$8+(1-A32)*Calculator!$C$9</f>
        <v>220</v>
      </c>
      <c r="C32" s="17" t="n">
        <f aca="false">Calculator!$C$10</f>
        <v>0</v>
      </c>
      <c r="D32" s="17" t="n">
        <f aca="false">-Calculator!$C$11*LN(A32*EXP(-Calculator!$C$8/Calculator!$C$11)+(1-A32)*EXP(-Calculator!$C$9/Calculator!$C$11))</f>
        <v>159.606118099959</v>
      </c>
    </row>
    <row r="33" customFormat="false" ht="15" hidden="false" customHeight="false" outlineLevel="0" collapsed="false">
      <c r="A33" s="16" t="n">
        <v>0.62</v>
      </c>
      <c r="B33" s="17" t="n">
        <f aca="false">A33*Calculator!$C$8+(1-A33)*Calculator!$C$9</f>
        <v>234</v>
      </c>
      <c r="C33" s="17" t="n">
        <f aca="false">Calculator!$C$10</f>
        <v>0</v>
      </c>
      <c r="D33" s="17" t="n">
        <f aca="false">-Calculator!$C$11*LN(A33*EXP(-Calculator!$C$8/Calculator!$C$11)+(1-A33)*EXP(-Calculator!$C$9/Calculator!$C$11))</f>
        <v>174.136675958466</v>
      </c>
    </row>
    <row r="34" customFormat="false" ht="15" hidden="false" customHeight="false" outlineLevel="0" collapsed="false">
      <c r="A34" s="16" t="n">
        <v>0.64</v>
      </c>
      <c r="B34" s="17" t="n">
        <f aca="false">A34*Calculator!$C$8+(1-A34)*Calculator!$C$9</f>
        <v>248</v>
      </c>
      <c r="C34" s="17" t="n">
        <f aca="false">Calculator!$C$10</f>
        <v>0</v>
      </c>
      <c r="D34" s="17" t="n">
        <f aca="false">-Calculator!$C$11*LN(A34*EXP(-Calculator!$C$8/Calculator!$C$11)+(1-A34)*EXP(-Calculator!$C$9/Calculator!$C$11))</f>
        <v>188.881487986554</v>
      </c>
    </row>
    <row r="35" customFormat="false" ht="15" hidden="false" customHeight="false" outlineLevel="0" collapsed="false">
      <c r="A35" s="16" t="n">
        <v>0.66</v>
      </c>
      <c r="B35" s="17" t="n">
        <f aca="false">A35*Calculator!$C$8+(1-A35)*Calculator!$C$9</f>
        <v>262</v>
      </c>
      <c r="C35" s="17" t="n">
        <f aca="false">Calculator!$C$10</f>
        <v>0</v>
      </c>
      <c r="D35" s="17" t="n">
        <f aca="false">-Calculator!$C$11*LN(A35*EXP(-Calculator!$C$8/Calculator!$C$11)+(1-A35)*EXP(-Calculator!$C$9/Calculator!$C$11))</f>
        <v>203.846967251023</v>
      </c>
    </row>
    <row r="36" customFormat="false" ht="15" hidden="false" customHeight="false" outlineLevel="0" collapsed="false">
      <c r="A36" s="16" t="n">
        <v>0.68</v>
      </c>
      <c r="B36" s="17" t="n">
        <f aca="false">A36*Calculator!$C$8+(1-A36)*Calculator!$C$9</f>
        <v>276</v>
      </c>
      <c r="C36" s="17" t="n">
        <f aca="false">Calculator!$C$10</f>
        <v>0</v>
      </c>
      <c r="D36" s="17" t="n">
        <f aca="false">-Calculator!$C$11*LN(A36*EXP(-Calculator!$C$8/Calculator!$C$11)+(1-A36)*EXP(-Calculator!$C$9/Calculator!$C$11))</f>
        <v>219.039819133367</v>
      </c>
    </row>
    <row r="37" customFormat="false" ht="15" hidden="false" customHeight="false" outlineLevel="0" collapsed="false">
      <c r="A37" s="16" t="n">
        <v>0.7</v>
      </c>
      <c r="B37" s="17" t="n">
        <f aca="false">A37*Calculator!$C$8+(1-A37)*Calculator!$C$9</f>
        <v>290</v>
      </c>
      <c r="C37" s="17" t="n">
        <f aca="false">Calculator!$C$10</f>
        <v>0</v>
      </c>
      <c r="D37" s="17" t="n">
        <f aca="false">-Calculator!$C$11*LN(A37*EXP(-Calculator!$C$8/Calculator!$C$11)+(1-A37)*EXP(-Calculator!$C$9/Calculator!$C$11))</f>
        <v>234.467059369589</v>
      </c>
    </row>
    <row r="38" customFormat="false" ht="15" hidden="false" customHeight="false" outlineLevel="0" collapsed="false">
      <c r="A38" s="16" t="n">
        <v>0.72</v>
      </c>
      <c r="B38" s="17" t="n">
        <f aca="false">A38*Calculator!$C$8+(1-A38)*Calculator!$C$9</f>
        <v>304</v>
      </c>
      <c r="C38" s="17" t="n">
        <f aca="false">Calculator!$C$10</f>
        <v>0</v>
      </c>
      <c r="D38" s="17" t="n">
        <f aca="false">-Calculator!$C$11*LN(A38*EXP(-Calculator!$C$8/Calculator!$C$11)+(1-A38)*EXP(-Calculator!$C$9/Calculator!$C$11))</f>
        <v>250.136033503479</v>
      </c>
    </row>
    <row r="39" customFormat="false" ht="15" hidden="false" customHeight="false" outlineLevel="0" collapsed="false">
      <c r="A39" s="16" t="n">
        <v>0.74</v>
      </c>
      <c r="B39" s="17" t="n">
        <f aca="false">A39*Calculator!$C$8+(1-A39)*Calculator!$C$9</f>
        <v>318</v>
      </c>
      <c r="C39" s="17" t="n">
        <f aca="false">Calculator!$C$10</f>
        <v>0</v>
      </c>
      <c r="D39" s="17" t="n">
        <f aca="false">-Calculator!$C$11*LN(A39*EXP(-Calculator!$C$8/Calculator!$C$11)+(1-A39)*EXP(-Calculator!$C$9/Calculator!$C$11))</f>
        <v>266.054437888377</v>
      </c>
    </row>
    <row r="40" customFormat="false" ht="15" hidden="false" customHeight="false" outlineLevel="0" collapsed="false">
      <c r="A40" s="16" t="n">
        <v>0.76</v>
      </c>
      <c r="B40" s="17" t="n">
        <f aca="false">A40*Calculator!$C$8+(1-A40)*Calculator!$C$9</f>
        <v>332</v>
      </c>
      <c r="C40" s="17" t="n">
        <f aca="false">Calculator!$C$10</f>
        <v>0</v>
      </c>
      <c r="D40" s="17" t="n">
        <f aca="false">-Calculator!$C$11*LN(A40*EXP(-Calculator!$C$8/Calculator!$C$11)+(1-A40)*EXP(-Calculator!$C$9/Calculator!$C$11))</f>
        <v>282.230342387723</v>
      </c>
    </row>
    <row r="41" customFormat="false" ht="15" hidden="false" customHeight="false" outlineLevel="0" collapsed="false">
      <c r="A41" s="16" t="n">
        <v>0.78</v>
      </c>
      <c r="B41" s="17" t="n">
        <f aca="false">A41*Calculator!$C$8+(1-A41)*Calculator!$C$9</f>
        <v>346</v>
      </c>
      <c r="C41" s="17" t="n">
        <f aca="false">Calculator!$C$10</f>
        <v>0</v>
      </c>
      <c r="D41" s="17" t="n">
        <f aca="false">-Calculator!$C$11*LN(A41*EXP(-Calculator!$C$8/Calculator!$C$11)+(1-A41)*EXP(-Calculator!$C$9/Calculator!$C$11))</f>
        <v>298.672214942006</v>
      </c>
    </row>
    <row r="42" customFormat="false" ht="15" hidden="false" customHeight="false" outlineLevel="0" collapsed="false">
      <c r="A42" s="16" t="n">
        <v>0.8</v>
      </c>
      <c r="B42" s="17" t="n">
        <f aca="false">A42*Calculator!$C$8+(1-A42)*Calculator!$C$9</f>
        <v>360</v>
      </c>
      <c r="C42" s="17" t="n">
        <f aca="false">Calculator!$C$10</f>
        <v>0</v>
      </c>
      <c r="D42" s="17" t="n">
        <f aca="false">-Calculator!$C$11*LN(A42*EXP(-Calculator!$C$8/Calculator!$C$11)+(1-A42)*EXP(-Calculator!$C$9/Calculator!$C$11))</f>
        <v>315.388948189335</v>
      </c>
    </row>
    <row r="43" customFormat="false" ht="15" hidden="false" customHeight="false" outlineLevel="0" collapsed="false">
      <c r="A43" s="16" t="n">
        <v>0.82</v>
      </c>
      <c r="B43" s="17" t="n">
        <f aca="false">A43*Calculator!$C$8+(1-A43)*Calculator!$C$9</f>
        <v>374</v>
      </c>
      <c r="C43" s="17" t="n">
        <f aca="false">Calculator!$C$10</f>
        <v>0</v>
      </c>
      <c r="D43" s="17" t="n">
        <f aca="false">-Calculator!$C$11*LN(A43*EXP(-Calculator!$C$8/Calculator!$C$11)+(1-A43)*EXP(-Calculator!$C$9/Calculator!$C$11))</f>
        <v>332.389888349145</v>
      </c>
    </row>
    <row r="44" customFormat="false" ht="15" hidden="false" customHeight="false" outlineLevel="0" collapsed="false">
      <c r="A44" s="16" t="n">
        <v>0.84</v>
      </c>
      <c r="B44" s="17" t="n">
        <f aca="false">A44*Calculator!$C$8+(1-A44)*Calculator!$C$9</f>
        <v>388</v>
      </c>
      <c r="C44" s="17" t="n">
        <f aca="false">Calculator!$C$10</f>
        <v>0</v>
      </c>
      <c r="D44" s="17" t="n">
        <f aca="false">-Calculator!$C$11*LN(A44*EXP(-Calculator!$C$8/Calculator!$C$11)+(1-A44)*EXP(-Calculator!$C$9/Calculator!$C$11))</f>
        <v>349.684866603913</v>
      </c>
    </row>
    <row r="45" customFormat="false" ht="15" hidden="false" customHeight="false" outlineLevel="0" collapsed="false">
      <c r="A45" s="16" t="n">
        <v>0.86</v>
      </c>
      <c r="B45" s="17" t="n">
        <f aca="false">A45*Calculator!$C$8+(1-A45)*Calculator!$C$9</f>
        <v>402</v>
      </c>
      <c r="C45" s="17" t="n">
        <f aca="false">Calculator!$C$10</f>
        <v>0</v>
      </c>
      <c r="D45" s="17" t="n">
        <f aca="false">-Calculator!$C$11*LN(A45*EXP(-Calculator!$C$8/Calculator!$C$11)+(1-A45)*EXP(-Calculator!$C$9/Calculator!$C$11))</f>
        <v>367.284233242708</v>
      </c>
    </row>
    <row r="46" customFormat="false" ht="15" hidden="false" customHeight="false" outlineLevel="0" collapsed="false">
      <c r="A46" s="16" t="n">
        <v>0.88</v>
      </c>
      <c r="B46" s="17" t="n">
        <f aca="false">A46*Calculator!$C$8+(1-A46)*Calculator!$C$9</f>
        <v>416</v>
      </c>
      <c r="C46" s="17" t="n">
        <f aca="false">Calculator!$C$10</f>
        <v>0</v>
      </c>
      <c r="D46" s="17" t="n">
        <f aca="false">-Calculator!$C$11*LN(A46*EXP(-Calculator!$C$8/Calculator!$C$11)+(1-A46)*EXP(-Calculator!$C$9/Calculator!$C$11))</f>
        <v>385.198894863472</v>
      </c>
    </row>
    <row r="47" customFormat="false" ht="15" hidden="false" customHeight="false" outlineLevel="0" collapsed="false">
      <c r="A47" s="16" t="n">
        <v>0.9</v>
      </c>
      <c r="B47" s="17" t="n">
        <f aca="false">A47*Calculator!$C$8+(1-A47)*Calculator!$C$9</f>
        <v>430</v>
      </c>
      <c r="C47" s="17" t="n">
        <f aca="false">Calculator!$C$10</f>
        <v>0</v>
      </c>
      <c r="D47" s="17" t="n">
        <f aca="false">-Calculator!$C$11*LN(A47*EXP(-Calculator!$C$8/Calculator!$C$11)+(1-A47)*EXP(-Calculator!$C$9/Calculator!$C$11))</f>
        <v>403.440354968877</v>
      </c>
    </row>
    <row r="48" customFormat="false" ht="15" hidden="false" customHeight="false" outlineLevel="0" collapsed="false">
      <c r="A48" s="16" t="n">
        <v>0.92</v>
      </c>
      <c r="B48" s="17" t="n">
        <f aca="false">A48*Calculator!$C$8+(1-A48)*Calculator!$C$9</f>
        <v>444</v>
      </c>
      <c r="C48" s="17" t="n">
        <f aca="false">Calculator!$C$10</f>
        <v>0</v>
      </c>
      <c r="D48" s="17" t="n">
        <f aca="false">-Calculator!$C$11*LN(A48*EXP(-Calculator!$C$8/Calculator!$C$11)+(1-A48)*EXP(-Calculator!$C$9/Calculator!$C$11))</f>
        <v>422.020758334122</v>
      </c>
    </row>
    <row r="49" customFormat="false" ht="15" hidden="false" customHeight="false" outlineLevel="0" collapsed="false">
      <c r="A49" s="16" t="n">
        <v>0.94</v>
      </c>
      <c r="B49" s="17" t="n">
        <f aca="false">A49*Calculator!$C$8+(1-A49)*Calculator!$C$9</f>
        <v>458</v>
      </c>
      <c r="C49" s="17" t="n">
        <f aca="false">Calculator!$C$10</f>
        <v>0</v>
      </c>
      <c r="D49" s="17" t="n">
        <f aca="false">-Calculator!$C$11*LN(A49*EXP(-Calculator!$C$8/Calculator!$C$11)+(1-A49)*EXP(-Calculator!$C$9/Calculator!$C$11))</f>
        <v>440.952939575234</v>
      </c>
    </row>
    <row r="50" customFormat="false" ht="15" hidden="false" customHeight="false" outlineLevel="0" collapsed="false">
      <c r="A50" s="16" t="n">
        <v>0.96</v>
      </c>
      <c r="B50" s="17" t="n">
        <f aca="false">A50*Calculator!$C$8+(1-A50)*Calculator!$C$9</f>
        <v>472</v>
      </c>
      <c r="C50" s="17" t="n">
        <f aca="false">Calculator!$C$10</f>
        <v>0</v>
      </c>
      <c r="D50" s="17" t="n">
        <f aca="false">-Calculator!$C$11*LN(A50*EXP(-Calculator!$C$8/Calculator!$C$11)+(1-A50)*EXP(-Calculator!$C$9/Calculator!$C$11))</f>
        <v>460.250476404284</v>
      </c>
    </row>
    <row r="51" customFormat="false" ht="15" hidden="false" customHeight="false" outlineLevel="0" collapsed="false">
      <c r="A51" s="16" t="n">
        <v>0.98</v>
      </c>
      <c r="B51" s="17" t="n">
        <f aca="false">A51*Calculator!$C$8+(1-A51)*Calculator!$C$9</f>
        <v>486</v>
      </c>
      <c r="C51" s="17" t="n">
        <f aca="false">Calculator!$C$10</f>
        <v>0</v>
      </c>
      <c r="D51" s="17" t="n">
        <f aca="false">-Calculator!$C$11*LN(A51*EXP(-Calculator!$C$8/Calculator!$C$11)+(1-A51)*EXP(-Calculator!$C$9/Calculator!$C$11))</f>
        <v>479.927748125</v>
      </c>
    </row>
    <row r="52" customFormat="false" ht="15" hidden="false" customHeight="false" outlineLevel="0" collapsed="false">
      <c r="A52" s="16" t="n">
        <v>1</v>
      </c>
      <c r="B52" s="17" t="n">
        <f aca="false">A52*Calculator!$C$8+(1-A52)*Calculator!$C$9</f>
        <v>500</v>
      </c>
      <c r="C52" s="17" t="n">
        <f aca="false">Calculator!$C$10</f>
        <v>0</v>
      </c>
      <c r="D52" s="17" t="n">
        <f aca="false">-Calculator!$C$11*LN(A52*EXP(-Calculator!$C$8/Calculator!$C$11)+(1-A52)*EXP(-Calculator!$C$9/Calculator!$C$11))</f>
        <v>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2026-07-02T22:56:08Z</dcterms:created>
  <dc:creator>openpyxl</dc:creator>
  <dc:description/>
  <dc:language>en-US</dc:language>
  <cp:lastModifiedBy/>
  <dcterms:modified xsi:type="dcterms:W3CDTF">2026-07-02T22:56:12Z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